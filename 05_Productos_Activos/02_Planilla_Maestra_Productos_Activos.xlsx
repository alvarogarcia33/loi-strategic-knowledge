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a02271268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5fae32479f5480f"/>
    <x:sheet xmlns:r="http://schemas.openxmlformats.org/officeDocument/2006/relationships" name="Maestro_Valores" sheetId="2" r:id="Rcfa0ad5be021419b"/>
    <x:sheet xmlns:r="http://schemas.openxmlformats.org/officeDocument/2006/relationships" name="Catalogo_HMAP" sheetId="3" r:id="Ra388c2eb5220476f"/>
    <x:sheet xmlns:r="http://schemas.openxmlformats.org/officeDocument/2006/relationships" name="Equivalencias" sheetId="4" r:id="R8bea18cea87f46b0"/>
    <x:sheet xmlns:r="http://schemas.openxmlformats.org/officeDocument/2006/relationships" name="Conflictos" sheetId="5" r:id="Rc22cb21a79b64d41"/>
    <x:sheet xmlns:r="http://schemas.openxmlformats.org/officeDocument/2006/relationships" name="Fuente_Original" sheetId="6" r:id="R41c1139e67d64158"/>
  </x:sheets>
</x:workbook>
</file>

<file path=xl/comments1.xml><?xml version="1.0" encoding="utf-8"?>
<x:comments xmlns:x="http://schemas.openxmlformats.org/spreadsheetml/2006/main">
  <x:authors>
    <x:author>tc={98BD84CC-6B69-4072-A4A4-EA1BDFD61CEF}</x:author>
    <x:author>tc={B37C82B5-B547-4097-8806-21F66083F9CD}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canonica: LOI_AI/05_Productos_Activos/monedas_tokens/Equivalencias_Estables.md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canonica: LOI_AI/05_Productos_Activos/monedas_tokens/Equivalencias_Estables.md</x:t>
        </x:r>
      </x:text>
    </x:comment>
  </x:commentList>
</x:comments>
</file>

<file path=xl/comments2.xml><?xml version="1.0" encoding="utf-8"?>
<x:comments xmlns:x="http://schemas.openxmlformats.org/spreadsheetml/2006/main">
  <x:authors>
    <x:author>tc={8220A7A9-48D4-49C7-9662-53CF11800422}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 usar DOMINION como valor fijo hasta resolver la discrepancia y capturar el tipo vigente de InteraSwap.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€#,##0.00;[Red](€#,##0.00);-"/>
    <x:numFmt numFmtId="201" formatCode="yyyy-mm-dd"/>
    <x:numFmt numFmtId="202" formatCode="0.00"/>
    <x:numFmt numFmtId="203" formatCode="0.0%"/>
    <x:numFmt numFmtId="204" formatCode="0.00;[Red](0.00);-"/>
  </x:numFmts>
  <x:fonts count="13">
    <x:font>
      <x:sz val="11"/>
      <x:name val="Carlito"/>
    </x:font>
    <x:font>
      <x:b/>
      <x:sz val="20"/>
      <x:color rgb="FFFFFFFF"/>
      <x:name val="Aptos Display"/>
    </x:font>
    <x:font>
      <x:sz val="10"/>
      <x:color rgb="FFB9D7E5"/>
      <x:name val="Aptos"/>
    </x:font>
    <x:font>
      <x:b/>
      <x:sz val="10"/>
      <x:color rgb="FFFFFFFF"/>
      <x:name val="Aptos"/>
    </x:font>
    <x:font>
      <x:sz val="9"/>
      <x:color rgb="FF17202A"/>
      <x:name val="Aptos"/>
    </x:font>
    <x:font>
      <x:b/>
      <x:sz val="9"/>
      <x:color rgb="FF0000FF"/>
      <x:name val="Aptos"/>
    </x:font>
    <x:font>
      <x:sz val="9"/>
      <x:color rgb="FF12805C"/>
      <x:name val="Aptos"/>
    </x:font>
    <x:font>
      <x:b/>
      <x:sz val="9"/>
      <x:color rgb="FF9A6700"/>
      <x:name val="Aptos"/>
    </x:font>
    <x:font>
      <x:b/>
      <x:sz val="10"/>
      <x:color rgb="FF22C7E8"/>
      <x:name val="Aptos"/>
    </x:font>
    <x:font>
      <x:b/>
      <x:sz val="24"/>
      <x:color rgb="FF071426"/>
      <x:name val="Aptos Display"/>
    </x:font>
    <x:font>
      <x:b/>
      <x:sz val="11"/>
      <x:color rgb="FF071426"/>
      <x:name val="Aptos"/>
    </x:font>
    <x:font>
      <x:sz val="10"/>
      <x:color rgb="FF17202A"/>
      <x:name val="Aptos"/>
    </x:font>
    <x:font>
      <x:b/>
      <x:sz val="10"/>
      <x:color rgb="FF071426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71426"/>
      </x:patternFill>
    </x:fill>
    <x:fill>
      <x:patternFill patternType="solid">
        <x:fgColor rgb="FF0D223A"/>
      </x:patternFill>
    </x:fill>
    <x:fill>
      <x:patternFill patternType="solid">
        <x:fgColor rgb="FFFFF3CD"/>
      </x:patternFill>
    </x:fill>
    <x:fill>
      <x:patternFill patternType="solid">
        <x:fgColor rgb="FFF4F7FA"/>
      </x:patternFill>
    </x:fill>
    <x:fill>
      <x:patternFill patternType="solid">
        <x:fgColor rgb="FFD6A84B"/>
      </x:patternFill>
    </x:fill>
    <x:fill>
      <x:patternFill patternType="solid">
        <x:fgColor rgb="FFFFFFFF"/>
      </x:patternFill>
    </x:fill>
    <x:fill>
      <x:patternFill patternType="solid">
        <x:fgColor rgb="FFDDF6FB"/>
      </x:patternFill>
    </x:fill>
    <x:fill>
      <x:patternFill patternType="solid">
        <x:fgColor rgb="FF22C7E8"/>
      </x:patternFill>
    </x:fill>
  </x:fills>
  <x:borders count="14">
    <x:border/>
    <x:border>
      <x:right style="thin">
        <x:color rgb="FF31506B"/>
      </x:right>
    </x:border>
    <x:border>
      <x:left style="thin">
        <x:color rgb="FF31506B"/>
      </x:left>
      <x:right style="thin">
        <x:color rgb="FF31506B"/>
      </x:right>
    </x:border>
    <x:border>
      <x:left style="thin">
        <x:color rgb="FF31506B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AD5E0"/>
      </x:left>
      <x:top style="thin">
        <x:color rgb="FFCAD5E0"/>
      </x:top>
    </x:border>
    <x:border>
      <x:right style="thin">
        <x:color rgb="FFCAD5E0"/>
      </x:right>
      <x:top style="thin">
        <x:color rgb="FFCAD5E0"/>
      </x:top>
    </x:border>
    <x:border>
      <x:left style="thin">
        <x:color rgb="FFCAD5E0"/>
      </x:left>
      <x:bottom style="thin">
        <x:color rgb="FFCAD5E0"/>
      </x:bottom>
    </x:border>
    <x:border>
      <x:right style="thin">
        <x:color rgb="FFCAD5E0"/>
      </x:right>
      <x:bottom style="thin">
        <x:color rgb="FFCAD5E0"/>
      </x:bottom>
    </x:border>
    <x:border>
      <x:bottom style="thin">
        <x:color rgb="FFCAD5E0"/>
      </x:bottom>
    </x:border>
    <x:border>
      <x:top style="thin">
        <x:color rgb="FFCAD5E0"/>
      </x:top>
      <x:bottom style="thin">
        <x:color rgb="FFCAD5E0"/>
      </x:bottom>
    </x:border>
    <x:border>
      <x:top style="thin">
        <x:color rgb="FFCAD5E0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3" fontId="6" fillId="0" borderId="4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3" fontId="6" fillId="0" borderId="6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7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center"/>
    </x:xf>
    <x:xf numFmtId="0" fontId="9" fillId="5" borderId="9" xfId="0" applyNumberFormat="1" applyFont="1" applyFill="1" applyBorder="1" applyAlignment="1">
      <x:alignment horizontal="center"/>
    </x:xf>
    <x:xf numFmtId="0" fontId="9" fillId="5" borderId="10" xfId="0" applyNumberFormat="1" applyFont="1" applyFill="1" applyBorder="1" applyAlignment="1">
      <x:alignment horizont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11" xfId="0" applyNumberFormat="1" applyFont="1" applyFill="1" applyBorder="1"/>
    <x:xf numFmtId="0" fontId="11" fillId="7" borderId="12" xfId="0" applyNumberFormat="1" applyFont="1" applyFill="1" applyBorder="1"/>
    <x:xf numFmtId="0" fontId="11" fillId="7" borderId="13" xfId="0" applyNumberFormat="1" applyFont="1" applyFill="1" applyBorder="1"/>
    <x:xf numFmtId="0" fontId="11" fillId="7" borderId="11" xfId="0" applyNumberFormat="1" applyFont="1" applyFill="1" applyBorder="1" applyAlignment="1">
      <x:alignment wrapText="1"/>
    </x:xf>
    <x:xf numFmtId="0" fontId="11" fillId="7" borderId="12" xfId="0" applyNumberFormat="1" applyFont="1" applyFill="1" applyBorder="1" applyAlignment="1">
      <x:alignment wrapText="1"/>
    </x:xf>
    <x:xf numFmtId="0" fontId="11" fillId="7" borderId="13" xfId="0" applyNumberFormat="1" applyFont="1" applyFill="1" applyBorder="1" applyAlignment="1">
      <x:alignment wrapText="1"/>
    </x:xf>
    <x:xf numFmtId="0" fontId="11" fillId="7" borderId="11" xfId="0" applyNumberFormat="1" applyFont="1" applyFill="1" applyBorder="1" applyAlignment="1">
      <x:alignment vertical="center"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11" fillId="8" borderId="12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vertical="center" wrapText="1"/>
    </x:xf>
    <x:xf numFmtId="0" fontId="12" fillId="8" borderId="12" xfId="0" applyNumberFormat="1" applyFont="1" applyFill="1" applyBorder="1" applyAlignment="1">
      <x:alignment vertical="center" wrapText="1"/>
    </x:xf>
    <x:xf numFmtId="0" fontId="12" fillId="8" borderId="13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horizontal="center" vertical="center" wrapText="1"/>
    </x:xf>
    <x:xf numFmtId="0" fontId="12" fillId="8" borderId="12" xfId="0" applyNumberFormat="1" applyFont="1" applyFill="1" applyBorder="1" applyAlignment="1">
      <x:alignment horizontal="center" vertical="center" wrapText="1"/>
    </x:xf>
    <x:xf numFmtId="0" fontId="12" fillId="8" borderId="1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12" fillId="7" borderId="11" xfId="0" applyNumberFormat="1" applyFont="1" applyFill="1" applyBorder="1" applyAlignment="1">
      <x:alignment vertical="center" wrapText="1"/>
    </x:xf>
    <x:xf numFmtId="0" fontId="12" fillId="7" borderId="12" xfId="0" applyNumberFormat="1" applyFont="1" applyFill="1" applyBorder="1" applyAlignment="1">
      <x:alignment vertical="center" wrapText="1"/>
    </x:xf>
    <x:xf numFmtId="0" fontId="12" fillId="7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A67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DE7E5"/>
        </x:patternFill>
      </x:fill>
    </x:dxf>
    <x:dxf>
      <x:font>
        <x:b/>
        <x:color rgb="FF12805C"/>
      </x:font>
      <x:fill>
        <x:patternFill patternType="solid">
          <x:bgColor rgb="FFDD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45a8ce56a407a" /><Relationship Type="http://schemas.openxmlformats.org/officeDocument/2006/relationships/theme" Target="/xl/theme/theme1.xml" Id="Rc4715fee71394288" /><Relationship Type="http://schemas.openxmlformats.org/officeDocument/2006/relationships/sharedStrings" Target="/xl/sharedStrings.xml" Id="Re6a5d30df04d4ac5" /><Relationship Type="http://schemas.openxmlformats.org/officeDocument/2006/relationships/worksheet" Target="/xl/worksheets/sheet1.xml" Id="R85fae32479f5480f" /><Relationship Type="http://schemas.openxmlformats.org/officeDocument/2006/relationships/worksheet" Target="/xl/worksheets/sheet2.xml" Id="Rcfa0ad5be021419b" /><Relationship Type="http://schemas.openxmlformats.org/officeDocument/2006/relationships/worksheet" Target="/xl/worksheets/sheet3.xml" Id="Ra388c2eb5220476f" /><Relationship Type="http://schemas.openxmlformats.org/officeDocument/2006/relationships/worksheet" Target="/xl/worksheets/sheet4.xml" Id="R8bea18cea87f46b0" /><Relationship Type="http://schemas.openxmlformats.org/officeDocument/2006/relationships/worksheet" Target="/xl/worksheets/sheet5.xml" Id="Rc22cb21a79b64d41" /><Relationship Type="http://schemas.openxmlformats.org/officeDocument/2006/relationships/worksheet" Target="/xl/worksheets/sheet6.xml" Id="R41c1139e67d64158" /><Relationship Type="http://schemas.microsoft.com/office/2017/10/relationships/person" Target="/xl/persons/person.xml" Id="R055f8956ded047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525b6a375a49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Composicion por metodo de valoracion</a:t>
            </a:r>
          </a:p>
        </c:rich>
      </c:tx>
      <c:overlay val="0"/>
    </c:title>
    <c:plotArea>
      <c:doughnutChart>
        <c:ser>
          <c:idx val="0"/>
          <c:order val="0"/>
          <c:tx>
            <c:v>Cantidad</c:v>
          </c:tx>
          <c:cat>
            <c:strRef>
              <c:f>'Resumen'!$H$21:$H$25</c:f>
              <c:strCache>
                <c:ptCount val="0"/>
              </c:strCache>
            </c:strRef>
          </c:cat>
          <c:val>
            <c:numRef>
              <c:f>'Resumen'!$I$21:$I$25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525b6a375a49c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OI_AI" id="{AAB97E91-32C5-4BBA-97F9-3B953B7FAD61}"/>
</xltc:personList>
</file>

<file path=xl/tables/table1.xml><?xml version="1.0" encoding="utf-8"?>
<x:table xmlns:x="http://schemas.openxmlformats.org/spreadsheetml/2006/main" id="3" name="MaestroValoresTable" displayName="MaestroValoresTable" ref="A4:O93" headerRowCount="1" totalsRowCount="0" totalsRowShown="0">
  <x:autoFilter ref="A4:O93"/>
  <x:tableColumns count="15">
    <x:tableColumn id="1" name="ID"/>
    <x:tableColumn id="2" name="Elemento"/>
    <x:tableColumn id="3" name="Categoria"/>
    <x:tableColumn id="4" name="Plataforma / area"/>
    <x:tableColumn id="5" name="Transferible"/>
    <x:tableColumn id="6" name="Tipo de valor"/>
    <x:tableColumn id="7" name="Valor fuente"/>
    <x:tableColumn id="8" name="Unidad fuente"/>
    <x:tableColumn id="9" name="Precio EUR"/>
    <x:tableColumn id="10" name="Estado"/>
    <x:tableColumn id="11" name="Metodo"/>
    <x:tableColumn id="12" name="Fecha referencia"/>
    <x:tableColumn id="13" name="Fuente"/>
    <x:tableColumn id="14" name="Utilidad"/>
    <x:tableColumn id="15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HMAPTable" displayName="CatalogoHMAPTable" ref="A4:O35" headerRowCount="1" totalsRowCount="0" totalsRowShown="0">
  <x:autoFilter ref="A4:O35"/>
  <x:tableColumns count="15">
    <x:tableColumn id="1" name="ID"/>
    <x:tableColumn id="2" name="Elemento"/>
    <x:tableColumn id="3" name="Velocidad/dia"/>
    <x:tableColumn id="4" name="Comision HMAP"/>
    <x:tableColumn id="5" name="Limite"/>
    <x:tableColumn id="6" name="Retiro"/>
    <x:tableColumn id="7" name="Recomendado REEX"/>
    <x:tableColumn id="8" name="Costo activacion EUR"/>
    <x:tableColumn id="9" name="Costo unitario EUR"/>
    <x:tableColumn id="10" name="Recomendado EUR"/>
    <x:tableColumn id="11" name="Precio seleccionado EUR"/>
    <x:tableColumn id="12" name="Metodo"/>
    <x:tableColumn id="13" name="Diferencia bruta"/>
    <x:tableColumn id="14" name="Margen bruto"/>
    <x:tableColumn id="15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quivalenciasTable" displayName="EquivalenciasTable" ref="A4:G16" headerRowCount="1" totalsRowCount="0" totalsRowShown="0">
  <x:autoFilter ref="A4:G16"/>
  <x:tableColumns count="7">
    <x:tableColumn id="1" name="Moneda / activo"/>
    <x:tableColumn id="2" name="Valor"/>
    <x:tableColumn id="3" name="Unidad"/>
    <x:tableColumn id="4" name="Tipo"/>
    <x:tableColumn id="5" name="Estado"/>
    <x:tableColumn id="6" name="Fuente"/>
    <x:tableColumn id="7" name="Observacio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nflictosTable" displayName="ConflictosTable" ref="A4:F14" headerRowCount="1" totalsRowCount="0" totalsRowShown="0">
  <x:autoFilter ref="A4:F14"/>
  <x:tableColumns count="6">
    <x:tableColumn id="1" name="ID"/>
    <x:tableColumn id="2" name="Elemento"/>
    <x:tableColumn id="3" name="Hallazgo"/>
    <x:tableColumn id="4" name="Impacto"/>
    <x:tableColumn id="5" name="Accion recomendada"/>
    <x:tableColumn id="6" name="Estado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FuenteOriginalTable" displayName="FuenteOriginalTable" ref="A4:H110" headerRowCount="1" totalsRowCount="0" totalsRowShown="0">
  <x:autoFilter ref="A4:H110"/>
  <x:tableColumns count="8">
    <x:tableColumn id="1" name="Hoja origen"/>
    <x:tableColumn id="2" name="Fila"/>
    <x:tableColumn id="3" name="Token / activo"/>
    <x:tableColumn id="4" name="Valor original"/>
    <x:tableColumn id="5" name="Transferible"/>
    <x:tableColumn id="6" name="Utilidad"/>
    <x:tableColumn id="7" name="Observacion"/>
    <x:tableColumn id="8" name="Archivo 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9-04T13:20:42.319" personId="{AAB97E91-32C5-4BBA-97F9-3B953B7FAD61}" id="{98BD84CC-6B69-4072-A4A4-EA1BDFD61CEF}">
    <xltc:text>Fuente canonica: LOI_AI/05_Productos_Activos/monedas_tokens/Equivalencias_Estables.md</xltc:text>
  </xltc:threadedComment>
  <xltc:threadedComment ref="B6" dT="2026-09-04T13:20:42.321" personId="{AAB97E91-32C5-4BBA-97F9-3B953B7FAD61}" id="{B37C82B5-B547-4097-8806-21F66083F9CD}">
    <xltc:text>Fuente canonica: LOI_AI/05_Productos_Activos/monedas_tokens/Equivalencias_Estables.md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5" dT="2026-09-04T13:20:42.321" personId="{AAB97E91-32C5-4BBA-97F9-3B953B7FAD61}" id="{8220A7A9-48D4-49C7-9662-53CF11800422}">
    <xltc:text>No usar DOMINION como valor fijo hasta resolver la discrepancia y capturar el tipo vigente de InteraSwap.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baf957cfa7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5091acf4e4f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0f1caa51242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73d3dec7d4bb4f4b" /><Relationship Type="http://schemas.openxmlformats.org/officeDocument/2006/relationships/vmlDrawing" Target="/xl/drawings/vmldrawing.vml" Id="R0c9c8ad52eb04804" /><Relationship Type="http://schemas.microsoft.com/office/2017/10/relationships/threadedComment" Target="/xl/threadedcomments/threadedcomment.xml" Id="R3b1c2246662f4d3f" /><Relationship Type="http://schemas.openxmlformats.org/officeDocument/2006/relationships/table" Target="/xl/tables/table3.xml" Id="R882f0358ffdb4a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826a678ffb814820" /><Relationship Type="http://schemas.openxmlformats.org/officeDocument/2006/relationships/vmlDrawing" Target="/xl/drawings/vmldrawing2.vml" Id="Rd37eaf6d2cd34a21" /><Relationship Type="http://schemas.microsoft.com/office/2017/10/relationships/threadedComment" Target="/xl/threadedcomments/threadedcomment2.xml" Id="Rf25db4fb29db4433" /><Relationship Type="http://schemas.openxmlformats.org/officeDocument/2006/relationships/table" Target="/xl/tables/table4.xml" Id="Rb6067219c4e44f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fac9f1632142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24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Planilla maestra de productos y activos</x:v>
      </x:c>
      <x:c r="B1" s="3" t="str">
        <x:v>Planilla maestra de productos y activos</x:v>
      </x:c>
      <x:c r="C1" s="3" t="str">
        <x:v>Planilla maestra de productos y activos</x:v>
      </x:c>
      <x:c r="D1" s="3" t="str">
        <x:v>Planilla maestra de productos y activos</x:v>
      </x:c>
      <x:c r="E1" s="3" t="str">
        <x:v>Planilla maestra de productos y activos</x:v>
      </x:c>
      <x:c r="F1" s="3" t="str">
        <x:v>Planilla maestra de productos y activos</x:v>
      </x:c>
      <x:c r="G1" s="3" t="str">
        <x:v>Planilla maestra de productos y activos</x:v>
      </x:c>
      <x:c r="H1" s="3" t="str">
        <x:v>Planilla maestra de productos y activos</x:v>
      </x:c>
      <x:c r="I1" s="3" t="str">
        <x:v>Planilla maestra de productos y activos</x:v>
      </x:c>
      <x:c r="J1" s="3" t="str">
        <x:v>Planilla maestra de productos y activos</x:v>
      </x:c>
      <x:c r="K1" s="3" t="str">
        <x:v>Planilla maestra de productos y activos</x:v>
      </x:c>
      <x:c r="L1" s="3" t="str">
        <x:v>Planilla maestra de productos y activos</x:v>
      </x:c>
      <x:c r="M1" s="3" t="str">
        <x:v>Planilla maestra de productos y activos</x:v>
      </x:c>
      <x:c r="N1" s="3" t="str">
        <x:v>Planilla maestra de productos y activos</x:v>
      </x:c>
    </x:row>
    <x:row r="2" ht="24" customHeight="1">
      <x:c r="A2" s="6" t="str">
        <x:v>Base unificada de precios, equivalencias, referencias, formulas, conflictos y fuentes | Corte: 2026-09-03</x:v>
      </x:c>
      <x:c r="B2" s="6" t="str">
        <x:v>Base unificada de precios, equivalencias, referencias, formulas, conflictos y fuentes | Corte: 2026-09-03</x:v>
      </x:c>
      <x:c r="C2" s="6" t="str">
        <x:v>Base unificada de precios, equivalencias, referencias, formulas, conflictos y fuentes | Corte: 2026-09-03</x:v>
      </x:c>
      <x:c r="D2" s="6" t="str">
        <x:v>Base unificada de precios, equivalencias, referencias, formulas, conflictos y fuentes | Corte: 2026-09-03</x:v>
      </x:c>
      <x:c r="E2" s="6" t="str">
        <x:v>Base unificada de precios, equivalencias, referencias, formulas, conflictos y fuentes | Corte: 2026-09-03</x:v>
      </x:c>
      <x:c r="F2" s="6" t="str">
        <x:v>Base unificada de precios, equivalencias, referencias, formulas, conflictos y fuentes | Corte: 2026-09-03</x:v>
      </x:c>
      <x:c r="G2" s="6" t="str">
        <x:v>Base unificada de precios, equivalencias, referencias, formulas, conflictos y fuentes | Corte: 2026-09-03</x:v>
      </x:c>
      <x:c r="H2" s="6" t="str">
        <x:v>Base unificada de precios, equivalencias, referencias, formulas, conflictos y fuentes | Corte: 2026-09-03</x:v>
      </x:c>
      <x:c r="I2" s="6" t="str">
        <x:v>Base unificada de precios, equivalencias, referencias, formulas, conflictos y fuentes | Corte: 2026-09-03</x:v>
      </x:c>
      <x:c r="J2" s="6" t="str">
        <x:v>Base unificada de precios, equivalencias, referencias, formulas, conflictos y fuentes | Corte: 2026-09-03</x:v>
      </x:c>
      <x:c r="K2" s="6" t="str">
        <x:v>Base unificada de precios, equivalencias, referencias, formulas, conflictos y fuentes | Corte: 2026-09-03</x:v>
      </x:c>
      <x:c r="L2" s="6" t="str">
        <x:v>Base unificada de precios, equivalencias, referencias, formulas, conflictos y fuentes | Corte: 2026-09-03</x:v>
      </x:c>
      <x:c r="M2" s="6" t="str">
        <x:v>Base unificada de precios, equivalencias, referencias, formulas, conflictos y fuentes | Corte: 2026-09-03</x:v>
      </x:c>
      <x:c r="N2" s="6" t="str">
        <x:v>Base unificada de precios, equivalencias, referencias, formulas, conflictos y fuentes | Corte: 2026-09-03</x:v>
      </x:c>
    </x:row>
    <x:row r="4">
      <x:c r="A4" s="58" t="str">
        <x:v>ACTIVOS UNICOS</x:v>
      </x:c>
      <x:c r="B4" s="58" t="str">
        <x:v>ACTIVOS UNICOS</x:v>
      </x:c>
      <x:c r="D4" s="58" t="str">
        <x:v>CON PRECIO EUR</x:v>
      </x:c>
      <x:c r="E4" s="58" t="str">
        <x:v>CON PRECIO EUR</x:v>
      </x:c>
    </x:row>
    <x:row r="5">
      <x:c r="A5" s="69" t="n">
        <x:f>COUNTA(Maestro_Valores!B5:B200)</x:f>
        <x:v>89</x:v>
      </x:c>
      <x:c r="B5" s="70"/>
      <x:c r="D5" s="69" t="n">
        <x:f>COUNT(Maestro_Valores!I5:I200)</x:f>
        <x:v>78</x:v>
      </x:c>
      <x:c r="E5" s="70"/>
    </x:row>
    <x:row r="6">
      <x:c r="A6" s="71"/>
      <x:c r="B6" s="72"/>
      <x:c r="D6" s="71"/>
      <x:c r="E6" s="72"/>
    </x:row>
    <x:row r="8">
      <x:c r="A8" s="58" t="str">
        <x:v>CANONICOS</x:v>
      </x:c>
      <x:c r="B8" s="58" t="str">
        <x:v>CANONICOS</x:v>
      </x:c>
      <x:c r="D8" s="58" t="str">
        <x:v>CONFLICTOS ABIERTOS</x:v>
      </x:c>
      <x:c r="E8" s="58" t="str">
        <x:v>CONFLICTOS ABIERTOS</x:v>
      </x:c>
    </x:row>
    <x:row r="9">
      <x:c r="A9" s="69" t="n">
        <x:f>COUNTIF(Maestro_Valores!F5:F200,"Equivalencia canonica")</x:f>
        <x:v>2</x:v>
      </x:c>
      <x:c r="B9" s="70"/>
      <x:c r="D9" s="69" t="n">
        <x:f>COUNTA(Conflictos!A5:A100)</x:f>
        <x:v>10</x:v>
      </x:c>
      <x:c r="E9" s="70"/>
    </x:row>
    <x:row r="10">
      <x:c r="A10" s="71"/>
      <x:c r="B10" s="72"/>
      <x:c r="D10" s="71"/>
      <x:c r="E10" s="72"/>
    </x:row>
    <x:row r="12">
      <x:c r="A12" s="75" t="str">
        <x:v>REGLAS DE USO</x:v>
      </x:c>
      <x:c r="B12" s="75" t="str">
        <x:v>REGLAS DE USO</x:v>
      </x:c>
      <x:c r="C12" s="75" t="str">
        <x:v>REGLAS DE USO</x:v>
      </x:c>
      <x:c r="D12" s="75" t="str">
        <x:v>REGLAS DE USO</x:v>
      </x:c>
      <x:c r="E12" s="75" t="str">
        <x:v>REGLAS DE USO</x:v>
      </x:c>
      <x:c r="F12" s="75" t="str">
        <x:v>REGLAS DE USO</x:v>
      </x:c>
    </x:row>
    <x:row r="13" ht="28" customHeight="1">
      <x:c r="A13" s="93" t="str">
        <x:v>1</x:v>
      </x:c>
      <x:c r="B13" s="84" t="str">
        <x:v>HMAP y REEX son las unicas equivalencias canonicas del libro.</x:v>
      </x:c>
      <x:c r="C13" s="84"/>
      <x:c r="D13" s="84"/>
      <x:c r="E13" s="84"/>
      <x:c r="F13" s="84"/>
    </x:row>
    <x:row r="14" ht="28" customHeight="1">
      <x:c r="A14" s="94" t="str">
        <x:v>2</x:v>
      </x:c>
      <x:c r="B14" s="85" t="str">
        <x:v>Precio recomendado de Olympia tiene prioridad sobre cualquier calculo.</x:v>
      </x:c>
      <x:c r="C14" s="85"/>
      <x:c r="D14" s="85"/>
      <x:c r="E14" s="85"/>
      <x:c r="F14" s="85"/>
    </x:row>
    <x:row r="15" ht="28" customHeight="1">
      <x:c r="A15" s="94" t="str">
        <x:v>3</x:v>
      </x:c>
      <x:c r="B15" s="85" t="str">
        <x:v>Sin precio recomendado: costo unitario = comision HMAP x EUR 50 / limite.</x:v>
      </x:c>
      <x:c r="C15" s="85"/>
      <x:c r="D15" s="85"/>
      <x:c r="E15" s="85"/>
      <x:c r="F15" s="85"/>
    </x:row>
    <x:row r="16" ht="28" customHeight="1">
      <x:c r="A16" s="94" t="str">
        <x:v>4</x:v>
      </x:c>
      <x:c r="B16" s="85" t="str">
        <x:v>Referencia aportada no equivale a precio oficial ni estable.</x:v>
      </x:c>
      <x:c r="C16" s="85"/>
      <x:c r="D16" s="85"/>
      <x:c r="E16" s="85"/>
      <x:c r="F16" s="85"/>
    </x:row>
    <x:row r="17" ht="28" customHeight="1">
      <x:c r="A17" s="95" t="str">
        <x:v>5</x:v>
      </x:c>
      <x:c r="B17" s="86" t="str">
        <x:v>Filtrar Estado antes de usar valores en informes o decisiones.</x:v>
      </x:c>
      <x:c r="C17" s="86"/>
      <x:c r="D17" s="86"/>
      <x:c r="E17" s="86"/>
      <x:c r="F17" s="86"/>
    </x:row>
    <x:row r="20" ht="30" customHeight="1">
      <x:c r="A20" s="98" t="str">
        <x:v>FUENTES Y ALCANCE</x:v>
      </x:c>
      <x:c r="B20" s="98" t="str">
        <x:v>FUENTES Y ALCANCE</x:v>
      </x:c>
      <x:c r="C20" s="98" t="str">
        <x:v>FUENTES Y ALCANCE</x:v>
      </x:c>
      <x:c r="D20" s="98" t="str">
        <x:v>FUENTES Y ALCANCE</x:v>
      </x:c>
      <x:c r="E20" s="98" t="str">
        <x:v>FUENTES Y ALCANCE</x:v>
      </x:c>
      <x:c r="F20" s="98" t="str">
        <x:v>FUENTES Y ALCANCE</x:v>
      </x:c>
      <x:c r="H20" s="14" t="str">
        <x:v>Metodo</x:v>
      </x:c>
      <x:c r="I20" s="16" t="str">
        <x:v>Cantidad</x:v>
      </x:c>
    </x:row>
    <x:row r="21" ht="30" customHeight="1">
      <x:c r="A21" s="99" t="str">
        <x:v>Fuente</x:v>
      </x:c>
      <x:c r="B21" s="84" t="str">
        <x:v>Lista de Tokens - Meta EDU.xlsx</x:v>
      </x:c>
      <x:c r="C21" s="84"/>
      <x:c r="D21" s="84"/>
      <x:c r="E21" s="84"/>
      <x:c r="F21" s="84"/>
      <x:c r="H21" s="24" t="str">
        <x:v>Precio recomendado</x:v>
      </x:c>
      <x:c r="I21" s="24" t="n">
        <x:f>COUNTIF(Maestro_Valores!F5:F200,"Precio recomendado")</x:f>
        <x:v>27</x:v>
      </x:c>
    </x:row>
    <x:row r="22" ht="30" customHeight="1">
      <x:c r="A22" s="100" t="str">
        <x:v>Catalogo</x:v>
      </x:c>
      <x:c r="B22" s="85" t="str">
        <x:v>Olympia H-MAP Industries: 31 productos</x:v>
      </x:c>
      <x:c r="C22" s="85"/>
      <x:c r="D22" s="85"/>
      <x:c r="E22" s="85"/>
      <x:c r="F22" s="85"/>
      <x:c r="H22" s="25" t="str">
        <x:v>Calculado por costo</x:v>
      </x:c>
      <x:c r="I22" s="25" t="n">
        <x:f>COUNTIF(Maestro_Valores!F5:F200,"Calculado por costo")</x:f>
        <x:v>4</x:v>
      </x:c>
    </x:row>
    <x:row r="23" ht="30" customHeight="1">
      <x:c r="A23" s="100" t="str">
        <x:v>Equivalencias</x:v>
      </x:c>
      <x:c r="B23" s="85" t="str">
        <x:v>HMAP EUR 50; REEX EUR 25</x:v>
      </x:c>
      <x:c r="C23" s="85"/>
      <x:c r="D23" s="85"/>
      <x:c r="E23" s="85"/>
      <x:c r="F23" s="85"/>
      <x:c r="H23" s="25" t="str">
        <x:v>Equivalencia canonica</x:v>
      </x:c>
      <x:c r="I23" s="25" t="n">
        <x:f>COUNTIF(Maestro_Valores!F5:F200,"Equivalencia canonica")</x:f>
        <x:v>2</x:v>
      </x:c>
    </x:row>
    <x:row r="24" ht="30" customHeight="1">
      <x:c r="A24" s="100" t="str">
        <x:v>Cobertura</x:v>
      </x:c>
      <x:c r="B24" s="85" t="str">
        <x:v>Tokens, monedas, cupones, fabricas, boosters, orbes y activos MOG</x:v>
      </x:c>
      <x:c r="C24" s="85"/>
      <x:c r="D24" s="85"/>
      <x:c r="E24" s="85"/>
      <x:c r="F24" s="85"/>
      <x:c r="H24" s="25" t="str">
        <x:v>Referencia aportada</x:v>
      </x:c>
      <x:c r="I24" s="25" t="n">
        <x:f>COUNTIF(Maestro_Valores!F5:F200,"Referencia aportada")+COUNTIF(Maestro_Valores!F5:F200,"Referencia no canonica")</x:f>
        <x:v>44</x:v>
      </x:c>
    </x:row>
    <x:row r="25" ht="30" customHeight="1">
      <x:c r="A25" s="101" t="str">
        <x:v>Actualizacion</x:v>
      </x:c>
      <x:c r="B25" s="86" t="str">
        <x:v>Agregar nuevas fuentes al maestro y conservar su fecha y tipo de valor</x:v>
      </x:c>
      <x:c r="C25" s="86"/>
      <x:c r="D25" s="86"/>
      <x:c r="E25" s="86"/>
      <x:c r="F25" s="86"/>
      <x:c r="H25" s="26" t="str">
        <x:v>Pendiente / otros</x:v>
      </x:c>
      <x:c r="I25" s="26" t="n">
        <x:f>COUNTA(Maestro_Valores!B5:B200)-SUM(I21:I24)</x:f>
        <x:v>12</x:v>
      </x:c>
    </x:row>
  </x:sheetData>
  <x:mergeCells>
    <x:mergeCell ref="A1:N1"/>
    <x:mergeCell ref="A2:N2"/>
    <x:mergeCell ref="A4:B4"/>
    <x:mergeCell ref="A5:B6"/>
    <x:mergeCell ref="D4:E4"/>
    <x:mergeCell ref="D5:E6"/>
    <x:mergeCell ref="A8:B8"/>
    <x:mergeCell ref="A9:B10"/>
    <x:mergeCell ref="D8:E8"/>
    <x:mergeCell ref="D9:E10"/>
    <x:mergeCell ref="A12:F12"/>
    <x:mergeCell ref="B13:F13"/>
    <x:mergeCell ref="B14:F14"/>
    <x:mergeCell ref="B15:F15"/>
    <x:mergeCell ref="B16:F16"/>
    <x:mergeCell ref="B17:F17"/>
    <x:mergeCell ref="A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  <x:drawing xmlns:r="http://schemas.openxmlformats.org/officeDocument/2006/relationships" r:id="Rb1baf957cfa744d5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59" hidden="0" customWidth="1"/>
    <x:col min="2" max="2" width="34" hidden="0" customWidth="1"/>
    <x:col min="3" max="3" width="23" hidden="0" customWidth="1"/>
    <x:col min="4" max="4" width="23" hidden="0" customWidth="1"/>
    <x:col min="5" max="5" width="59" hidden="0" customWidth="1"/>
    <x:col min="6" max="6" width="24" hidden="0" customWidth="1"/>
    <x:col min="7" max="7" width="59" hidden="0" customWidth="1"/>
    <x:col min="8" max="8" width="59" hidden="0" customWidth="1"/>
    <x:col min="9" max="9" width="59" hidden="0" customWidth="1"/>
    <x:col min="10" max="10" width="22" hidden="0" customWidth="1"/>
    <x:col min="11" max="11" width="22" hidden="0" customWidth="1"/>
    <x:col min="12" max="12" width="59" hidden="0" customWidth="1"/>
    <x:col min="13" max="13" width="38" hidden="0" customWidth="1"/>
    <x:col min="14" max="14" width="52" hidden="0" customWidth="1"/>
    <x:col min="15" max="15" width="58" hidden="0" customWidth="1"/>
  </x:cols>
  <x:sheetData>
    <x:row r="1" ht="34" customHeight="1">
      <x:c r="A1" s="3" t="str">
        <x:v>Maestro unificado de valores</x:v>
      </x:c>
      <x:c r="B1" s="3" t="str">
        <x:v>Maestro unificado de valores</x:v>
      </x:c>
      <x:c r="C1" s="3" t="str">
        <x:v>Maestro unificado de valores</x:v>
      </x:c>
      <x:c r="D1" s="3" t="str">
        <x:v>Maestro unificado de valores</x:v>
      </x:c>
      <x:c r="E1" s="3" t="str">
        <x:v>Maestro unificado de valores</x:v>
      </x:c>
      <x:c r="F1" s="3" t="str">
        <x:v>Maestro unificado de valores</x:v>
      </x:c>
      <x:c r="G1" s="3" t="str">
        <x:v>Maestro unificado de valores</x:v>
      </x:c>
      <x:c r="H1" s="3" t="str">
        <x:v>Maestro unificado de valores</x:v>
      </x:c>
      <x:c r="I1" s="3" t="str">
        <x:v>Maestro unificado de valores</x:v>
      </x:c>
      <x:c r="J1" s="3" t="str">
        <x:v>Maestro unificado de valores</x:v>
      </x:c>
      <x:c r="K1" s="3" t="str">
        <x:v>Maestro unificado de valores</x:v>
      </x:c>
      <x:c r="L1" s="3" t="str">
        <x:v>Maestro unificado de valores</x:v>
      </x:c>
      <x:c r="M1" s="3" t="str">
        <x:v>Maestro unificado de valores</x:v>
      </x:c>
      <x:c r="N1" s="3" t="str">
        <x:v>Maestro unificado de valores</x:v>
      </x:c>
      <x:c r="O1" s="3" t="str">
        <x:v>Maestro unificado de valores</x:v>
      </x:c>
    </x:row>
    <x:row r="2" ht="24" customHeight="1">
      <x:c r="A2" s="6" t="str">
        <x:v>Una fila por activo. Filtre por tipo de valor y estado antes de utilizar precios en analisis.</x:v>
      </x:c>
      <x:c r="B2" s="6" t="str">
        <x:v>Una fila por activo. Filtre por tipo de valor y estado antes de utilizar precios en analisis.</x:v>
      </x:c>
      <x:c r="C2" s="6" t="str">
        <x:v>Una fila por activo. Filtre por tipo de valor y estado antes de utilizar precios en analisis.</x:v>
      </x:c>
      <x:c r="D2" s="6" t="str">
        <x:v>Una fila por activo. Filtre por tipo de valor y estado antes de utilizar precios en analisis.</x:v>
      </x:c>
      <x:c r="E2" s="6" t="str">
        <x:v>Una fila por activo. Filtre por tipo de valor y estado antes de utilizar precios en analisis.</x:v>
      </x:c>
      <x:c r="F2" s="6" t="str">
        <x:v>Una fila por activo. Filtre por tipo de valor y estado antes de utilizar precios en analisis.</x:v>
      </x:c>
      <x:c r="G2" s="6" t="str">
        <x:v>Una fila por activo. Filtre por tipo de valor y estado antes de utilizar precios en analisis.</x:v>
      </x:c>
      <x:c r="H2" s="6" t="str">
        <x:v>Una fila por activo. Filtre por tipo de valor y estado antes de utilizar precios en analisis.</x:v>
      </x:c>
      <x:c r="I2" s="6" t="str">
        <x:v>Una fila por activo. Filtre por tipo de valor y estado antes de utilizar precios en analisis.</x:v>
      </x:c>
      <x:c r="J2" s="6" t="str">
        <x:v>Una fila por activo. Filtre por tipo de valor y estado antes de utilizar precios en analisis.</x:v>
      </x:c>
      <x:c r="K2" s="6" t="str">
        <x:v>Una fila por activo. Filtre por tipo de valor y estado antes de utilizar precios en analisis.</x:v>
      </x:c>
      <x:c r="L2" s="6" t="str">
        <x:v>Una fila por activo. Filtre por tipo de valor y estado antes de utilizar precios en analisis.</x:v>
      </x:c>
      <x:c r="M2" s="6" t="str">
        <x:v>Una fila por activo. Filtre por tipo de valor y estado antes de utilizar precios en analisis.</x:v>
      </x:c>
      <x:c r="N2" s="6" t="str">
        <x:v>Una fila por activo. Filtre por tipo de valor y estado antes de utilizar precios en analisis.</x:v>
      </x:c>
      <x:c r="O2" s="6" t="str">
        <x:v>Una fila por activo. Filtre por tipo de valor y estado antes de utilizar precios en analisis.</x:v>
      </x:c>
    </x:row>
    <x:row r="4" ht="30" customHeight="1">
      <x:c r="A4" s="14" t="str">
        <x:v>ID</x:v>
      </x:c>
      <x:c r="B4" s="15" t="str">
        <x:v>Elemento</x:v>
      </x:c>
      <x:c r="C4" s="15" t="str">
        <x:v>Categoria</x:v>
      </x:c>
      <x:c r="D4" s="15" t="str">
        <x:v>Plataforma / area</x:v>
      </x:c>
      <x:c r="E4" s="15" t="str">
        <x:v>Transferible</x:v>
      </x:c>
      <x:c r="F4" s="15" t="str">
        <x:v>Tipo de valor</x:v>
      </x:c>
      <x:c r="G4" s="15" t="str">
        <x:v>Valor fuente</x:v>
      </x:c>
      <x:c r="H4" s="15" t="str">
        <x:v>Unidad fuente</x:v>
      </x:c>
      <x:c r="I4" s="15" t="str">
        <x:v>Precio EUR</x:v>
      </x:c>
      <x:c r="J4" s="15" t="str">
        <x:v>Estado</x:v>
      </x:c>
      <x:c r="K4" s="15" t="str">
        <x:v>Metodo</x:v>
      </x:c>
      <x:c r="L4" s="15" t="str">
        <x:v>Fecha referencia</x:v>
      </x:c>
      <x:c r="M4" s="15" t="str">
        <x:v>Fuente</x:v>
      </x:c>
      <x:c r="N4" s="15" t="str">
        <x:v>Utilidad</x:v>
      </x:c>
      <x:c r="O4" s="16" t="str">
        <x:v>Observaciones</x:v>
      </x:c>
    </x:row>
    <x:row r="5" ht="32" customHeight="1">
      <x:c r="A5" s="24" t="n">
        <x:v>1</x:v>
      </x:c>
      <x:c r="B5" s="24" t="str">
        <x:v>Advisor</x:v>
      </x:c>
      <x:c r="C5" s="24" t="str">
        <x:v>Asesor</x:v>
      </x:c>
      <x:c r="D5" s="24" t="str">
        <x:v>TerritoryX / MOG</x:v>
      </x:c>
      <x:c r="E5" s="24" t="str">
        <x:v>No</x:v>
      </x:c>
      <x:c r="F5" s="24" t="str">
        <x:v>Referencia aportada</x:v>
      </x:c>
      <x:c r="G5" s="47" t="n">
        <x:v>5</x:v>
      </x:c>
      <x:c r="H5" s="24" t="str">
        <x:v>EUR</x:v>
      </x:c>
      <x:c r="I5" s="41" t="n">
        <x:f>G5</x:f>
        <x:v>5</x:v>
      </x:c>
      <x:c r="J5" s="24" t="str">
        <x:v>No canonica</x:v>
      </x:c>
      <x:c r="K5" s="24" t="str">
        <x:v>Referencia aportada</x:v>
      </x:c>
      <x:c r="L5" s="32" t="n">
        <x:v>46268.625</x:v>
      </x:c>
      <x:c r="M5" s="24" t="str">
        <x:v>Lista de Tokens - Meta EDU.xlsx</x:v>
      </x:c>
      <x:c r="N5" s="24" t="str">
        <x:v>Asistente que administra las hexatiles (parcelas) del juego</x:v>
      </x:c>
      <x:c r="O5" s="24" t="str"/>
    </x:row>
    <x:row r="6" ht="32" customHeight="1">
      <x:c r="A6" s="25" t="n">
        <x:v>2</x:v>
      </x:c>
      <x:c r="B6" s="25" t="str">
        <x:v>Exchange point</x:v>
      </x:c>
      <x:c r="C6" s="25" t="str">
        <x:v>Comercio</x:v>
      </x:c>
      <x:c r="D6" s="25" t="str">
        <x:v>Olympia / H-MAP Industries</x:v>
      </x:c>
      <x:c r="E6" s="25" t="str">
        <x:v>No indicado</x:v>
      </x:c>
      <x:c r="F6" s="25" t="str">
        <x:v>Precio recomendado</x:v>
      </x:c>
      <x:c r="G6" s="48" t="n">
        <x:v>0.4</x:v>
      </x:c>
      <x:c r="H6" s="25" t="str">
        <x:v>REEX</x:v>
      </x:c>
      <x:c r="I6" s="43" t="n">
        <x:f>Catalogo_HMAP!K24</x:f>
        <x:v>10</x:v>
      </x:c>
      <x:c r="J6" s="25" t="str">
        <x:v>Vigente segun fuente</x:v>
      </x:c>
      <x:c r="K6" s="25" t="str">
        <x:v>Precio recomendado</x:v>
      </x:c>
      <x:c r="L6" s="33" t="n">
        <x:v>46268.625</x:v>
      </x:c>
      <x:c r="M6" s="25" t="str">
        <x:v>https://www.olympia-lab.com/es/industries/</x:v>
      </x:c>
      <x:c r="N6" s="25" t="str">
        <x:v>Intercambia objetos y recursos</x:v>
      </x:c>
      <x:c r="O6" s="25" t="str"/>
    </x:row>
    <x:row r="7" ht="32" customHeight="1">
      <x:c r="A7" s="25" t="n">
        <x:v>3</x:v>
      </x:c>
      <x:c r="B7" s="25" t="str">
        <x:v>7PT COUPON</x:v>
      </x:c>
      <x:c r="C7" s="25" t="str">
        <x:v>Cupon</x:v>
      </x:c>
      <x:c r="D7" s="25" t="str">
        <x:v>Olympia / H-MAP Industries</x:v>
      </x:c>
      <x:c r="E7" s="25" t="str">
        <x:v>Si</x:v>
      </x:c>
      <x:c r="F7" s="25" t="str">
        <x:v>Calculado por costo</x:v>
      </x:c>
      <x:c r="G7" s="48" t="n">
        <x:v>2</x:v>
      </x:c>
      <x:c r="H7" s="25" t="str">
        <x:v>HMAP / 50 unidades</x:v>
      </x:c>
      <x:c r="I7" s="43" t="n">
        <x:f>Catalogo_HMAP!K6</x:f>
        <x:v>2</x:v>
      </x:c>
      <x:c r="J7" s="25" t="str">
        <x:v>Vigente segun fuente</x:v>
      </x:c>
      <x:c r="K7" s="25" t="str">
        <x:v>Calculado por costo</x:v>
      </x:c>
      <x:c r="L7" s="33" t="n">
        <x:v>46268.625</x:v>
      </x:c>
      <x:c r="M7" s="25" t="str">
        <x:v>Olympia Industries + Lista Meta EDU</x:v>
      </x:c>
      <x:c r="N7" s="25" t="str">
        <x:v>Permite obtener un 7PT</x:v>
      </x:c>
      <x:c r="O7" s="25" t="str">
        <x:v>Registro duplicado consolidado entre la lista aportada y el catalogo oficial.</x:v>
      </x:c>
    </x:row>
    <x:row r="8" ht="32" customHeight="1">
      <x:c r="A8" s="25" t="n">
        <x:v>4</x:v>
      </x:c>
      <x:c r="B8" s="25" t="str">
        <x:v>7PT.PRO COUPON</x:v>
      </x:c>
      <x:c r="C8" s="25" t="str">
        <x:v>Cupon</x:v>
      </x:c>
      <x:c r="D8" s="25" t="str">
        <x:v>Olympia / H-MAP Industries</x:v>
      </x:c>
      <x:c r="E8" s="25" t="str">
        <x:v>Si</x:v>
      </x:c>
      <x:c r="F8" s="25" t="str">
        <x:v>Calculado por costo</x:v>
      </x:c>
      <x:c r="G8" s="48" t="n">
        <x:v>5</x:v>
      </x:c>
      <x:c r="H8" s="25" t="str">
        <x:v>HMAP / 50 unidades</x:v>
      </x:c>
      <x:c r="I8" s="43" t="n">
        <x:f>Catalogo_HMAP!K8</x:f>
        <x:v>5</x:v>
      </x:c>
      <x:c r="J8" s="25" t="str">
        <x:v>Vigente segun fuente</x:v>
      </x:c>
      <x:c r="K8" s="25" t="str">
        <x:v>Calculado por costo</x:v>
      </x:c>
      <x:c r="L8" s="33" t="n">
        <x:v>46268.625</x:v>
      </x:c>
      <x:c r="M8" s="25" t="str">
        <x:v>Olympia Industries + Lista Meta EDU</x:v>
      </x:c>
      <x:c r="N8" s="25" t="str">
        <x:v>Permite obtener un 7PT.PRO</x:v>
      </x:c>
      <x:c r="O8" s="25" t="str">
        <x:v>Registro duplicado consolidado entre la lista aportada y el catalogo oficial.</x:v>
      </x:c>
    </x:row>
    <x:row r="9" ht="32" customHeight="1">
      <x:c r="A9" s="25" t="n">
        <x:v>5</x:v>
      </x:c>
      <x:c r="B9" s="25" t="str">
        <x:v>9PT COUPON</x:v>
      </x:c>
      <x:c r="C9" s="25" t="str">
        <x:v>Cupon</x:v>
      </x:c>
      <x:c r="D9" s="25" t="str">
        <x:v>Olympia / H-MAP Industries</x:v>
      </x:c>
      <x:c r="E9" s="25" t="str">
        <x:v>Si</x:v>
      </x:c>
      <x:c r="F9" s="25" t="str">
        <x:v>Calculado por costo</x:v>
      </x:c>
      <x:c r="G9" s="48" t="n">
        <x:v>2</x:v>
      </x:c>
      <x:c r="H9" s="25" t="str">
        <x:v>HMAP / 50 unidades</x:v>
      </x:c>
      <x:c r="I9" s="43" t="n">
        <x:f>Catalogo_HMAP!K7</x:f>
        <x:v>2</x:v>
      </x:c>
      <x:c r="J9" s="25" t="str">
        <x:v>Vigente segun fuente</x:v>
      </x:c>
      <x:c r="K9" s="25" t="str">
        <x:v>Calculado por costo</x:v>
      </x:c>
      <x:c r="L9" s="33" t="n">
        <x:v>46268.625</x:v>
      </x:c>
      <x:c r="M9" s="25" t="str">
        <x:v>Olympia Industries + Lista Meta EDU</x:v>
      </x:c>
      <x:c r="N9" s="25" t="str">
        <x:v>Permite obtener un 9PT</x:v>
      </x:c>
      <x:c r="O9" s="25" t="str">
        <x:v>Registro duplicado consolidado entre la lista aportada y el catalogo oficial.</x:v>
      </x:c>
    </x:row>
    <x:row r="10" ht="32" customHeight="1">
      <x:c r="A10" s="25" t="n">
        <x:v>6</x:v>
      </x:c>
      <x:c r="B10" s="25" t="str">
        <x:v>PreFactory</x:v>
      </x:c>
      <x:c r="C10" s="25" t="str">
        <x:v>Cupon</x:v>
      </x:c>
      <x:c r="D10" s="25" t="str">
        <x:v>Ecosistema LOI</x:v>
      </x:c>
      <x:c r="E10" s="25" t="str">
        <x:v>Si</x:v>
      </x:c>
      <x:c r="F10" s="25" t="str">
        <x:v>Referencia aportada</x:v>
      </x:c>
      <x:c r="G10" s="48" t="n">
        <x:v>150</x:v>
      </x:c>
      <x:c r="H10" s="25" t="str">
        <x:v>EUR</x:v>
      </x:c>
      <x:c r="I10" s="43" t="n">
        <x:f>G10</x:f>
        <x:v>150</x:v>
      </x:c>
      <x:c r="J10" s="25" t="str">
        <x:v>Revisar naturaleza del valor</x:v>
      </x:c>
      <x:c r="K10" s="25" t="str">
        <x:v>Referencia aportada</x:v>
      </x:c>
      <x:c r="L10" s="33" t="n">
        <x:v>46268.625</x:v>
      </x:c>
      <x:c r="M10" s="25" t="str">
        <x:v>Lista de Tokens - Meta EDU.xlsx</x:v>
      </x:c>
      <x:c r="N10" s="25" t="str">
        <x:v>Cupón necesario para crear fabricas de Drones del juego</x:v>
      </x:c>
      <x:c r="O10" s="25" t="str">
        <x:v>Costo de comisión para trasnferir €150 La fuente tambien describe EUR 150 como comision de transferencia; confirmar si es precio o fee.</x:v>
      </x:c>
    </x:row>
    <x:row r="11" ht="32" customHeight="1">
      <x:c r="A11" s="25" t="n">
        <x:v>7</x:v>
      </x:c>
      <x:c r="B11" s="25" t="str">
        <x:v>Hepta:Miner3</x:v>
      </x:c>
      <x:c r="C11" s="25" t="str">
        <x:v>Extractor</x:v>
      </x:c>
      <x:c r="D11" s="25" t="str">
        <x:v>Olympia / H-MAP Industries</x:v>
      </x:c>
      <x:c r="E11" s="25" t="str">
        <x:v>No indicado</x:v>
      </x:c>
      <x:c r="F11" s="25" t="str">
        <x:v>Precio recomendado</x:v>
      </x:c>
      <x:c r="G11" s="48" t="n">
        <x:v>0.01</x:v>
      </x:c>
      <x:c r="H11" s="25" t="str">
        <x:v>REEX</x:v>
      </x:c>
      <x:c r="I11" s="43" t="n">
        <x:f>Catalogo_HMAP!K23</x:f>
        <x:v>0.25</x:v>
      </x:c>
      <x:c r="J11" s="25" t="str">
        <x:v>Vigente segun fuente</x:v>
      </x:c>
      <x:c r="K11" s="25" t="str">
        <x:v>Precio recomendado</x:v>
      </x:c>
      <x:c r="L11" s="33" t="n">
        <x:v>46268.625</x:v>
      </x:c>
      <x:c r="M11" s="25" t="str">
        <x:v>https://www.olympia-lab.com/es/industries/</x:v>
      </x:c>
      <x:c r="N11" s="25" t="str">
        <x:v>Extrae HEPTA Coin</x:v>
      </x:c>
      <x:c r="O11" s="25" t="str"/>
    </x:row>
    <x:row r="12" ht="32" customHeight="1">
      <x:c r="A12" s="25" t="n">
        <x:v>8</x:v>
      </x:c>
      <x:c r="B12" s="25" t="str">
        <x:v>Factory IA Silver</x:v>
      </x:c>
      <x:c r="C12" s="25" t="str">
        <x:v>Fabrica</x:v>
      </x:c>
      <x:c r="D12" s="25" t="str">
        <x:v>Olympia / H-MAP Industries</x:v>
      </x:c>
      <x:c r="E12" s="25" t="str">
        <x:v>No indicado</x:v>
      </x:c>
      <x:c r="F12" s="25" t="str">
        <x:v>Precio recomendado</x:v>
      </x:c>
      <x:c r="G12" s="48" t="n">
        <x:v>18</x:v>
      </x:c>
      <x:c r="H12" s="25" t="str">
        <x:v>REEX</x:v>
      </x:c>
      <x:c r="I12" s="43" t="n">
        <x:f>Catalogo_HMAP!K5</x:f>
        <x:v>450</x:v>
      </x:c>
      <x:c r="J12" s="25" t="str">
        <x:v>Vigente segun fuente</x:v>
      </x:c>
      <x:c r="K12" s="25" t="str">
        <x:v>Precio recomendado</x:v>
      </x:c>
      <x:c r="L12" s="33" t="n">
        <x:v>46268.625</x:v>
      </x:c>
      <x:c r="M12" s="25" t="str">
        <x:v>https://www.olympia-lab.com/es/industries/</x:v>
      </x:c>
      <x:c r="N12" s="25" t="str">
        <x:v>Produce eslabones fisicos de plata y su gemelo digital</x:v>
      </x:c>
      <x:c r="O12" s="25" t="str"/>
    </x:row>
    <x:row r="13" ht="32" customHeight="1">
      <x:c r="A13" s="25" t="n">
        <x:v>9</x:v>
      </x:c>
      <x:c r="B13" s="25" t="str">
        <x:v>FactoryDX+</x:v>
      </x:c>
      <x:c r="C13" s="25" t="str">
        <x:v>Fabrica</x:v>
      </x:c>
      <x:c r="D13" s="25" t="str">
        <x:v>Ecosistema LOI</x:v>
      </x:c>
      <x:c r="E13" s="25" t="str">
        <x:v>Si</x:v>
      </x:c>
      <x:c r="F13" s="25" t="str">
        <x:v>Referencia aportada</x:v>
      </x:c>
      <x:c r="G13" s="48" t="n">
        <x:v>625</x:v>
      </x:c>
      <x:c r="H13" s="25" t="str">
        <x:v>EUR</x:v>
      </x:c>
      <x:c r="I13" s="43" t="n">
        <x:f>G13</x:f>
        <x:v>625</x:v>
      </x:c>
      <x:c r="J13" s="25" t="str">
        <x:v>No canonica</x:v>
      </x:c>
      <x:c r="K13" s="25" t="str">
        <x:v>Referencia aportada</x:v>
      </x:c>
      <x:c r="L13" s="33" t="n">
        <x:v>46268.625</x:v>
      </x:c>
      <x:c r="M13" s="25" t="str">
        <x:v>Lista de Tokens - Meta EDU.xlsx</x:v>
      </x:c>
      <x:c r="N13" s="25" t="str">
        <x:v>Fabrica de Drones que produce 1 unidad cada 5 días</x:v>
      </x:c>
      <x:c r="O13" s="25" t="str"/>
    </x:row>
    <x:row r="14" ht="32" customHeight="1">
      <x:c r="A14" s="25" t="n">
        <x:v>10</x:v>
      </x:c>
      <x:c r="B14" s="25" t="str">
        <x:v>Add New Coin</x:v>
      </x:c>
      <x:c r="C14" s="25" t="str">
        <x:v>Infraestructura economica</x:v>
      </x:c>
      <x:c r="D14" s="25" t="str">
        <x:v>Olympia / H-MAP Industries</x:v>
      </x:c>
      <x:c r="E14" s="25" t="str">
        <x:v>No indicado</x:v>
      </x:c>
      <x:c r="F14" s="25" t="str">
        <x:v>Precio recomendado</x:v>
      </x:c>
      <x:c r="G14" s="48" t="n">
        <x:v>24</x:v>
      </x:c>
      <x:c r="H14" s="25" t="str">
        <x:v>REEX</x:v>
      </x:c>
      <x:c r="I14" s="43" t="n">
        <x:f>Catalogo_HMAP!K30</x:f>
        <x:v>600</x:v>
      </x:c>
      <x:c r="J14" s="25" t="str">
        <x:v>Vigente segun fuente</x:v>
      </x:c>
      <x:c r="K14" s="25" t="str">
        <x:v>Precio recomendado</x:v>
      </x:c>
      <x:c r="L14" s="33" t="n">
        <x:v>46268.625</x:v>
      </x:c>
      <x:c r="M14" s="25" t="str">
        <x:v>https://www.olympia-lab.com/es/industries/</x:v>
      </x:c>
      <x:c r="N14" s="25" t="str">
        <x:v>Crea una moneda propia del Maestro del Juego</x:v>
      </x:c>
      <x:c r="O14" s="25" t="str"/>
    </x:row>
    <x:row r="15" ht="32" customHeight="1">
      <x:c r="A15" s="25" t="n">
        <x:v>11</x:v>
      </x:c>
      <x:c r="B15" s="25" t="str">
        <x:v>Rueda de la felicidad</x:v>
      </x:c>
      <x:c r="C15" s="25" t="str">
        <x:v>Interaccion</x:v>
      </x:c>
      <x:c r="D15" s="25" t="str">
        <x:v>Olympia / H-MAP Industries</x:v>
      </x:c>
      <x:c r="E15" s="25" t="str">
        <x:v>No indicado</x:v>
      </x:c>
      <x:c r="F15" s="25" t="str">
        <x:v>Precio recomendado</x:v>
      </x:c>
      <x:c r="G15" s="48" t="n">
        <x:v>1.2</x:v>
      </x:c>
      <x:c r="H15" s="25" t="str">
        <x:v>REEX</x:v>
      </x:c>
      <x:c r="I15" s="43" t="n">
        <x:f>Catalogo_HMAP!K28</x:f>
        <x:v>30</x:v>
      </x:c>
      <x:c r="J15" s="25" t="str">
        <x:v>Vigente segun fuente</x:v>
      </x:c>
      <x:c r="K15" s="25" t="str">
        <x:v>Precio recomendado</x:v>
      </x:c>
      <x:c r="L15" s="33" t="n">
        <x:v>46268.625</x:v>
      </x:c>
      <x:c r="M15" s="25" t="str">
        <x:v>https://www.olympia-lab.com/es/industries/</x:v>
      </x:c>
      <x:c r="N15" s="25" t="str">
        <x:v>Configura premios y tareas</x:v>
      </x:c>
      <x:c r="O15" s="25" t="str"/>
    </x:row>
    <x:row r="16" ht="32" customHeight="1">
      <x:c r="A16" s="25" t="n">
        <x:v>12</x:v>
      </x:c>
      <x:c r="B16" s="25" t="str">
        <x:v>1 GM</x:v>
      </x:c>
      <x:c r="C16" s="25" t="str">
        <x:v>Moneda / token</x:v>
      </x:c>
      <x:c r="D16" s="25" t="str">
        <x:v>TerritoryX / MOG</x:v>
      </x:c>
      <x:c r="E16" s="25" t="str">
        <x:v>Si</x:v>
      </x:c>
      <x:c r="F16" s="25" t="str">
        <x:v>Sin referencia</x:v>
      </x:c>
      <x:c r="G16" s="48"/>
      <x:c r="H16" s="25" t="str"/>
      <x:c r="I16" s="43"/>
      <x:c r="J16" s="25" t="str">
        <x:v>Revisar</x:v>
      </x:c>
      <x:c r="K16" s="25" t="str">
        <x:v>Sin referencia</x:v>
      </x:c>
      <x:c r="L16" s="33" t="n">
        <x:v>46268.625</x:v>
      </x:c>
      <x:c r="M16" s="25" t="str">
        <x:v>Lista de Tokens - Meta EDU.xlsx</x:v>
      </x:c>
      <x:c r="N16" s="25" t="str">
        <x:v>Tokens que da derecho de tener un nuevo MOG proveniente de campaña publicitaria</x:v>
      </x:c>
      <x:c r="O16" s="25" t="str">
        <x:v>Corroborar si se puede transferir. €25? 1 Reex en el TAC equivale a 1 GM</x:v>
      </x:c>
    </x:row>
    <x:row r="17" ht="32" customHeight="1">
      <x:c r="A17" s="25" t="n">
        <x:v>13</x:v>
      </x:c>
      <x:c r="B17" s="25" t="str">
        <x:v>Antallagi</x:v>
      </x:c>
      <x:c r="C17" s="25" t="str">
        <x:v>Moneda / token</x:v>
      </x:c>
      <x:c r="D17" s="25" t="str">
        <x:v>Ecosistema LOI</x:v>
      </x:c>
      <x:c r="E17" s="25" t="str">
        <x:v>Si</x:v>
      </x:c>
      <x:c r="F17" s="25" t="str">
        <x:v>Referencia aportada</x:v>
      </x:c>
      <x:c r="G17" s="48" t="n">
        <x:v>0.8</x:v>
      </x:c>
      <x:c r="H17" s="25" t="str">
        <x:v>EUR</x:v>
      </x:c>
      <x:c r="I17" s="43" t="n">
        <x:f>G17</x:f>
        <x:v>0.8</x:v>
      </x:c>
      <x:c r="J17" s="25" t="str">
        <x:v>Revisar</x:v>
      </x:c>
      <x:c r="K17" s="25" t="str">
        <x:v>Referencia aportada</x:v>
      </x:c>
      <x:c r="L17" s="33" t="n">
        <x:v>46268.625</x:v>
      </x:c>
      <x:c r="M17" s="25" t="str">
        <x:v>Lista de Tokens - Meta EDU.xlsx</x:v>
      </x:c>
      <x:c r="N17" s="25" t="str">
        <x:v>Token para pagar fee de transacciones en marketplace Antallagi</x:v>
      </x:c>
      <x:c r="O17" s="25" t="str">
        <x:v>Existe una segunda referencia de EUR 0,80 promedio.</x:v>
      </x:c>
    </x:row>
    <x:row r="18" ht="32" customHeight="1">
      <x:c r="A18" s="25" t="n">
        <x:v>14</x:v>
      </x:c>
      <x:c r="B18" s="25" t="str">
        <x:v>CBR</x:v>
      </x:c>
      <x:c r="C18" s="25" t="str">
        <x:v>Moneda / token</x:v>
      </x:c>
      <x:c r="D18" s="25" t="str">
        <x:v>NETSBO / Antallagi</x:v>
      </x:c>
      <x:c r="E18" s="25" t="str">
        <x:v>Si</x:v>
      </x:c>
      <x:c r="F18" s="25" t="str">
        <x:v>Referencia aportada</x:v>
      </x:c>
      <x:c r="G18" s="48" t="n">
        <x:v>60</x:v>
      </x:c>
      <x:c r="H18" s="25" t="str">
        <x:v>EUR</x:v>
      </x:c>
      <x:c r="I18" s="43" t="n">
        <x:f>G18</x:f>
        <x:v>60</x:v>
      </x:c>
      <x:c r="J18" s="25" t="str">
        <x:v>No canonica</x:v>
      </x:c>
      <x:c r="K18" s="25" t="str">
        <x:v>Referencia aportada</x:v>
      </x:c>
      <x:c r="L18" s="33" t="n">
        <x:v>46268.625</x:v>
      </x:c>
      <x:c r="M18" s="25" t="str">
        <x:v>Lista de Tokens - Meta EDU.xlsx</x:v>
      </x:c>
      <x:c r="N18" s="25" t="str">
        <x:v>Token para delegar a nodos validadores de la blockchain Netsbo</x:v>
      </x:c>
      <x:c r="O18" s="25" t="str"/>
    </x:row>
    <x:row r="19" ht="32" customHeight="1">
      <x:c r="A19" s="25" t="n">
        <x:v>15</x:v>
      </x:c>
      <x:c r="B19" s="25" t="str">
        <x:v>Escudo</x:v>
      </x:c>
      <x:c r="C19" s="25" t="str">
        <x:v>Moneda / token</x:v>
      </x:c>
      <x:c r="D19" s="25" t="str">
        <x:v>Ecosistema LOI</x:v>
      </x:c>
      <x:c r="E19" s="25" t="str">
        <x:v>Si</x:v>
      </x:c>
      <x:c r="F19" s="25" t="str">
        <x:v>Paridad externa</x:v>
      </x:c>
      <x:c r="G19" s="48" t="n">
        <x:v>1</x:v>
      </x:c>
      <x:c r="H19" s="25" t="str">
        <x:v>USD</x:v>
      </x:c>
      <x:c r="I19" s="43"/>
      <x:c r="J19" s="25" t="str">
        <x:v>Requiere cotizacion / conversion</x:v>
      </x:c>
      <x:c r="K19" s="25" t="str">
        <x:v>Paridad externa</x:v>
      </x:c>
      <x:c r="L19" s="33" t="n">
        <x:v>46268.625</x:v>
      </x:c>
      <x:c r="M19" s="25" t="str">
        <x:v>Lista de Tokens - Meta EDU.xlsx</x:v>
      </x:c>
      <x:c r="N19" s="25" t="str">
        <x:v>Wrap (token envuelto) para operar con USDT en redes como TRC20, ERC20 y BSC</x:v>
      </x:c>
      <x:c r="O19" s="25" t="str"/>
    </x:row>
    <x:row r="20" ht="32" customHeight="1">
      <x:c r="A20" s="25" t="n">
        <x:v>16</x:v>
      </x:c>
      <x:c r="B20" s="25" t="str">
        <x:v>Gico</x:v>
      </x:c>
      <x:c r="C20" s="25" t="str">
        <x:v>Moneda / token</x:v>
      </x:c>
      <x:c r="D20" s="25" t="str">
        <x:v>Ecosistema LOI</x:v>
      </x:c>
      <x:c r="E20" s="25" t="str">
        <x:v>Si</x:v>
      </x:c>
      <x:c r="F20" s="25" t="str">
        <x:v>Referencia aportada</x:v>
      </x:c>
      <x:c r="G20" s="48" t="n">
        <x:v>86.5</x:v>
      </x:c>
      <x:c r="H20" s="25" t="str">
        <x:v>EUR</x:v>
      </x:c>
      <x:c r="I20" s="43" t="n">
        <x:f>G20</x:f>
        <x:v>86.5</x:v>
      </x:c>
      <x:c r="J20" s="25" t="str">
        <x:v>No canonica</x:v>
      </x:c>
      <x:c r="K20" s="25" t="str">
        <x:v>Referencia aportada</x:v>
      </x:c>
      <x:c r="L20" s="33" t="n">
        <x:v>46268.625</x:v>
      </x:c>
      <x:c r="M20" s="25" t="str">
        <x:v>Lista de Tokens - Meta EDU.xlsx</x:v>
      </x:c>
      <x:c r="N20" s="25" t="str">
        <x:v>Token para comprar 7PT, 9PT o 7PT PRO</x:v>
      </x:c>
      <x:c r="O20" s="25" t="str"/>
    </x:row>
    <x:row r="21" ht="32" customHeight="1">
      <x:c r="A21" s="25" t="n">
        <x:v>17</x:v>
      </x:c>
      <x:c r="B21" s="25" t="str">
        <x:v>GOS</x:v>
      </x:c>
      <x:c r="C21" s="25" t="str">
        <x:v>Moneda / token</x:v>
      </x:c>
      <x:c r="D21" s="25" t="str">
        <x:v>GIG-OS</x:v>
      </x:c>
      <x:c r="E21" s="25" t="str">
        <x:v>Si</x:v>
      </x:c>
      <x:c r="F21" s="25" t="str">
        <x:v>Referencia aportada</x:v>
      </x:c>
      <x:c r="G21" s="48" t="n">
        <x:v>60</x:v>
      </x:c>
      <x:c r="H21" s="25" t="str">
        <x:v>EUR</x:v>
      </x:c>
      <x:c r="I21" s="43" t="n">
        <x:f>G21</x:f>
        <x:v>60</x:v>
      </x:c>
      <x:c r="J21" s="25" t="str">
        <x:v>No canonica</x:v>
      </x:c>
      <x:c r="K21" s="25" t="str">
        <x:v>Referencia aportada</x:v>
      </x:c>
      <x:c r="L21" s="33" t="n">
        <x:v>46268.625</x:v>
      </x:c>
      <x:c r="M21" s="25" t="str">
        <x:v>Lista de Tokens - Meta EDU.xlsx</x:v>
      </x:c>
      <x:c r="N21" s="25" t="str">
        <x:v>Token para realizar pagos internos de la plataforma GIG-OS</x:v>
      </x:c>
      <x:c r="O21" s="25" t="str"/>
    </x:row>
    <x:row r="22" ht="32" customHeight="1">
      <x:c r="A22" s="25" t="n">
        <x:v>18</x:v>
      </x:c>
      <x:c r="B22" s="25" t="str">
        <x:v>GTC</x:v>
      </x:c>
      <x:c r="C22" s="25" t="str">
        <x:v>Moneda / token</x:v>
      </x:c>
      <x:c r="D22" s="25" t="str">
        <x:v>Ecosistema LOI</x:v>
      </x:c>
      <x:c r="E22" s="25" t="str">
        <x:v>Si</x:v>
      </x:c>
      <x:c r="F22" s="25" t="str">
        <x:v>Paridad externa</x:v>
      </x:c>
      <x:c r="G22" s="48" t="n">
        <x:v>1</x:v>
      </x:c>
      <x:c r="H22" s="25" t="str">
        <x:v>g ORO</x:v>
      </x:c>
      <x:c r="I22" s="43"/>
      <x:c r="J22" s="25" t="str">
        <x:v>Requiere cotizacion / conversion</x:v>
      </x:c>
      <x:c r="K22" s="25" t="str">
        <x:v>Paridad externa</x:v>
      </x:c>
      <x:c r="L22" s="33" t="n">
        <x:v>46268.625</x:v>
      </x:c>
      <x:c r="M22" s="25" t="str">
        <x:v>Lista de Tokens - Meta EDU.xlsx</x:v>
      </x:c>
      <x:c r="N22" s="25" t="str">
        <x:v>Token para acumular valor </x:v>
      </x:c>
      <x:c r="O22" s="25" t="str"/>
    </x:row>
    <x:row r="23" ht="32" customHeight="1">
      <x:c r="A23" s="25" t="n">
        <x:v>19</x:v>
      </x:c>
      <x:c r="B23" s="25" t="str">
        <x:v>Hepta</x:v>
      </x:c>
      <x:c r="C23" s="25" t="str">
        <x:v>Moneda / token</x:v>
      </x:c>
      <x:c r="D23" s="25" t="str">
        <x:v>Ecosistema LOI</x:v>
      </x:c>
      <x:c r="E23" s="25" t="str">
        <x:v>No</x:v>
      </x:c>
      <x:c r="F23" s="25" t="str">
        <x:v>Sin referencia</x:v>
      </x:c>
      <x:c r="G23" s="48"/>
      <x:c r="H23" s="25" t="str"/>
      <x:c r="I23" s="43"/>
      <x:c r="J23" s="25" t="str">
        <x:v>Pendiente</x:v>
      </x:c>
      <x:c r="K23" s="25" t="str">
        <x:v>Sin referencia</x:v>
      </x:c>
      <x:c r="L23" s="33" t="n">
        <x:v>46268.625</x:v>
      </x:c>
      <x:c r="M23" s="25" t="str">
        <x:v>Lista de Tokens - Meta EDU.xlsx</x:v>
      </x:c>
      <x:c r="N23" s="25" t="str">
        <x:v>Token que funcionará para comprar articulos y recursos basicos del juego</x:v>
      </x:c>
      <x:c r="O23" s="25" t="str"/>
    </x:row>
    <x:row r="24" ht="32" customHeight="1">
      <x:c r="A24" s="25" t="n">
        <x:v>20</x:v>
      </x:c>
      <x:c r="B24" s="25" t="str">
        <x:v>HMAP</x:v>
      </x:c>
      <x:c r="C24" s="25" t="str">
        <x:v>Moneda / token</x:v>
      </x:c>
      <x:c r="D24" s="25" t="str">
        <x:v>Olympia</x:v>
      </x:c>
      <x:c r="E24" s="25" t="str">
        <x:v>Si</x:v>
      </x:c>
      <x:c r="F24" s="25" t="str">
        <x:v>Equivalencia canonica</x:v>
      </x:c>
      <x:c r="G24" s="48" t="n">
        <x:v>50</x:v>
      </x:c>
      <x:c r="H24" s="25" t="str">
        <x:v>EUR</x:v>
      </x:c>
      <x:c r="I24" s="43" t="n">
        <x:f>Equivalencias!$B$5</x:f>
        <x:v>50</x:v>
      </x:c>
      <x:c r="J24" s="25" t="str">
        <x:v>Vigente</x:v>
      </x:c>
      <x:c r="K24" s="25" t="str">
        <x:v>Equivalencia canonica</x:v>
      </x:c>
      <x:c r="L24" s="33" t="n">
        <x:v>46268.625</x:v>
      </x:c>
      <x:c r="M24" s="25" t="str">
        <x:v>Lista de Tokens - Meta EDU.xlsx</x:v>
      </x:c>
      <x:c r="N24" s="25" t="str">
        <x:v>Token para realizar pagos internos de la plataforma Olympia</x:v>
      </x:c>
      <x:c r="O24" s="25" t="str"/>
    </x:row>
    <x:row r="25" ht="32" customHeight="1">
      <x:c r="A25" s="25" t="n">
        <x:v>21</x:v>
      </x:c>
      <x:c r="B25" s="25" t="str">
        <x:v>inBTC</x:v>
      </x:c>
      <x:c r="C25" s="25" t="str">
        <x:v>Moneda / token</x:v>
      </x:c>
      <x:c r="D25" s="25" t="str">
        <x:v>Ecosistema LOI</x:v>
      </x:c>
      <x:c r="E25" s="25" t="str">
        <x:v>Si</x:v>
      </x:c>
      <x:c r="F25" s="25" t="str">
        <x:v>Paridad externa</x:v>
      </x:c>
      <x:c r="G25" s="48" t="n">
        <x:v>1</x:v>
      </x:c>
      <x:c r="H25" s="25" t="str">
        <x:v>BTC</x:v>
      </x:c>
      <x:c r="I25" s="43"/>
      <x:c r="J25" s="25" t="str">
        <x:v>Requiere cotizacion / conversion</x:v>
      </x:c>
      <x:c r="K25" s="25" t="str">
        <x:v>Paridad externa</x:v>
      </x:c>
      <x:c r="L25" s="33" t="n">
        <x:v>46268.625</x:v>
      </x:c>
      <x:c r="M25" s="25" t="str">
        <x:v>Lista de Tokens - Meta EDU.xlsx</x:v>
      </x:c>
      <x:c r="N25" s="25" t="str">
        <x:v>Wrap (token envuelto) para conectar con la blokchain de Bitcoin </x:v>
      </x:c>
      <x:c r="O25" s="25" t="str"/>
    </x:row>
    <x:row r="26" ht="32" customHeight="1">
      <x:c r="A26" s="25" t="n">
        <x:v>22</x:v>
      </x:c>
      <x:c r="B26" s="25" t="str">
        <x:v>inETH</x:v>
      </x:c>
      <x:c r="C26" s="25" t="str">
        <x:v>Moneda / token</x:v>
      </x:c>
      <x:c r="D26" s="25" t="str">
        <x:v>Ecosistema LOI</x:v>
      </x:c>
      <x:c r="E26" s="25" t="str">
        <x:v>Si</x:v>
      </x:c>
      <x:c r="F26" s="25" t="str">
        <x:v>Paridad externa</x:v>
      </x:c>
      <x:c r="G26" s="48" t="n">
        <x:v>1</x:v>
      </x:c>
      <x:c r="H26" s="25" t="str">
        <x:v>ETH</x:v>
      </x:c>
      <x:c r="I26" s="43"/>
      <x:c r="J26" s="25" t="str">
        <x:v>Requiere cotizacion / conversion</x:v>
      </x:c>
      <x:c r="K26" s="25" t="str">
        <x:v>Paridad externa</x:v>
      </x:c>
      <x:c r="L26" s="33" t="n">
        <x:v>46268.625</x:v>
      </x:c>
      <x:c r="M26" s="25" t="str">
        <x:v>Lista de Tokens - Meta EDU.xlsx</x:v>
      </x:c>
      <x:c r="N26" s="25" t="str">
        <x:v>Wrap (token envuelto) para conectar con la blokchain de Ethereum</x:v>
      </x:c>
      <x:c r="O26" s="25" t="str"/>
    </x:row>
    <x:row r="27" ht="32" customHeight="1">
      <x:c r="A27" s="25" t="n">
        <x:v>23</x:v>
      </x:c>
      <x:c r="B27" s="25" t="str">
        <x:v>INT</x:v>
      </x:c>
      <x:c r="C27" s="25" t="str">
        <x:v>Moneda / token</x:v>
      </x:c>
      <x:c r="D27" s="25" t="str">
        <x:v>Interatum</x:v>
      </x:c>
      <x:c r="E27" s="25" t="str">
        <x:v>Si</x:v>
      </x:c>
      <x:c r="F27" s="25" t="str">
        <x:v>Referencia no canonica</x:v>
      </x:c>
      <x:c r="G27" s="48" t="n">
        <x:v>85.5</x:v>
      </x:c>
      <x:c r="H27" s="25" t="str">
        <x:v>EUR</x:v>
      </x:c>
      <x:c r="I27" s="43" t="n">
        <x:f>G27</x:f>
        <x:v>85.5</x:v>
      </x:c>
      <x:c r="J27" s="25" t="str">
        <x:v>Dinamica / validar</x:v>
      </x:c>
      <x:c r="K27" s="25" t="str">
        <x:v>Referencia no canonica</x:v>
      </x:c>
      <x:c r="L27" s="33" t="n">
        <x:v>46268.625</x:v>
      </x:c>
      <x:c r="M27" s="25" t="str">
        <x:v>Lista de Tokens - Meta EDU.xlsx</x:v>
      </x:c>
      <x:c r="N27" s="25" t="str">
        <x:v>Token de gobernanza y utilidad para el marketplace de servicios Interatum</x:v>
      </x:c>
      <x:c r="O27" s="25" t="str">
        <x:v>InteraSwap documenta valor dinamico; EUR 85.5 se conserva solo como referencia aportada.</x:v>
      </x:c>
    </x:row>
    <x:row r="28" ht="32" customHeight="1">
      <x:c r="A28" s="25" t="n">
        <x:v>24</x:v>
      </x:c>
      <x:c r="B28" s="25" t="str">
        <x:v>MLC</x:v>
      </x:c>
      <x:c r="C28" s="25" t="str">
        <x:v>Moneda / token</x:v>
      </x:c>
      <x:c r="D28" s="25" t="str">
        <x:v>Ecosistema LOI</x:v>
      </x:c>
      <x:c r="E28" s="25" t="str">
        <x:v>Si</x:v>
      </x:c>
      <x:c r="F28" s="25" t="str">
        <x:v>Sin referencia</x:v>
      </x:c>
      <x:c r="G28" s="48"/>
      <x:c r="H28" s="25" t="str"/>
      <x:c r="I28" s="43"/>
      <x:c r="J28" s="25" t="str">
        <x:v>Pendiente</x:v>
      </x:c>
      <x:c r="K28" s="25" t="str">
        <x:v>Sin referencia</x:v>
      </x:c>
      <x:c r="L28" s="33" t="n">
        <x:v>46268.625</x:v>
      </x:c>
      <x:c r="M28" s="25" t="str">
        <x:v>Lista de Tokens - Meta EDU.xlsx</x:v>
      </x:c>
      <x:c r="N28" s="25" t="str">
        <x:v>Unidad de medida para competencia Major League Coin (Descontinuado)</x:v>
      </x:c>
      <x:c r="O28" s="25" t="str"/>
    </x:row>
    <x:row r="29" ht="32" customHeight="1">
      <x:c r="A29" s="25" t="n">
        <x:v>25</x:v>
      </x:c>
      <x:c r="B29" s="25" t="str">
        <x:v>Nets</x:v>
      </x:c>
      <x:c r="C29" s="25" t="str">
        <x:v>Moneda / token</x:v>
      </x:c>
      <x:c r="D29" s="25" t="str">
        <x:v>NETSBO / Antallagi</x:v>
      </x:c>
      <x:c r="E29" s="25" t="str">
        <x:v>Si</x:v>
      </x:c>
      <x:c r="F29" s="25" t="str">
        <x:v>Referencia aportada</x:v>
      </x:c>
      <x:c r="G29" s="48" t="n">
        <x:v>6</x:v>
      </x:c>
      <x:c r="H29" s="25" t="str">
        <x:v>EUR</x:v>
      </x:c>
      <x:c r="I29" s="43" t="n">
        <x:f>G29</x:f>
        <x:v>6</x:v>
      </x:c>
      <x:c r="J29" s="25" t="str">
        <x:v>No canonica</x:v>
      </x:c>
      <x:c r="K29" s="25" t="str">
        <x:v>Referencia aportada</x:v>
      </x:c>
      <x:c r="L29" s="33" t="n">
        <x:v>46268.625</x:v>
      </x:c>
      <x:c r="M29" s="25" t="str">
        <x:v>Lista de Tokens - Meta EDU.xlsx</x:v>
      </x:c>
      <x:c r="N29" s="25" t="str">
        <x:v>Tokens nativo de la blockchain Netsbo, necesaria para pagar fee de transacciones</x:v>
      </x:c>
      <x:c r="O29" s="25" t="str"/>
    </x:row>
    <x:row r="30" ht="32" customHeight="1">
      <x:c r="A30" s="25" t="n">
        <x:v>26</x:v>
      </x:c>
      <x:c r="B30" s="25" t="str">
        <x:v>Octa</x:v>
      </x:c>
      <x:c r="C30" s="25" t="str">
        <x:v>Moneda / token</x:v>
      </x:c>
      <x:c r="D30" s="25" t="str">
        <x:v>Ecosistema LOI</x:v>
      </x:c>
      <x:c r="E30" s="25" t="str">
        <x:v>No</x:v>
      </x:c>
      <x:c r="F30" s="25" t="str">
        <x:v>Sin referencia</x:v>
      </x:c>
      <x:c r="G30" s="48"/>
      <x:c r="H30" s="25" t="str"/>
      <x:c r="I30" s="43"/>
      <x:c r="J30" s="25" t="str">
        <x:v>Pendiente</x:v>
      </x:c>
      <x:c r="K30" s="25" t="str">
        <x:v>Sin referencia</x:v>
      </x:c>
      <x:c r="L30" s="33" t="n">
        <x:v>46268.625</x:v>
      </x:c>
      <x:c r="M30" s="25" t="str">
        <x:v>Lista de Tokens - Meta EDU.xlsx</x:v>
      </x:c>
      <x:c r="N30" s="25" t="str">
        <x:v>Token premium para adquirir los objetos mas caros y exclusivos</x:v>
      </x:c>
      <x:c r="O30" s="25" t="str"/>
    </x:row>
    <x:row r="31" ht="32" customHeight="1">
      <x:c r="A31" s="25" t="n">
        <x:v>27</x:v>
      </x:c>
      <x:c r="B31" s="25" t="str">
        <x:v>PreMPA</x:v>
      </x:c>
      <x:c r="C31" s="25" t="str">
        <x:v>Moneda / token</x:v>
      </x:c>
      <x:c r="D31" s="25" t="str">
        <x:v>Ecosistema LOI</x:v>
      </x:c>
      <x:c r="E31" s="25" t="str">
        <x:v>No</x:v>
      </x:c>
      <x:c r="F31" s="25" t="str">
        <x:v>Referencia aportada</x:v>
      </x:c>
      <x:c r="G31" s="48" t="n">
        <x:v>450</x:v>
      </x:c>
      <x:c r="H31" s="25" t="str">
        <x:v>EUR</x:v>
      </x:c>
      <x:c r="I31" s="43" t="n">
        <x:f>G31</x:f>
        <x:v>450</x:v>
      </x:c>
      <x:c r="J31" s="25" t="str">
        <x:v>No canonica</x:v>
      </x:c>
      <x:c r="K31" s="25" t="str">
        <x:v>Referencia aportada</x:v>
      </x:c>
      <x:c r="L31" s="33" t="n">
        <x:v>46268.625</x:v>
      </x:c>
      <x:c r="M31" s="25" t="str">
        <x:v>Lista de Tokens - Meta EDU.xlsx</x:v>
      </x:c>
      <x:c r="N31" s="25" t="str">
        <x:v>Token de gobernanza de MarketPlace</x:v>
      </x:c>
      <x:c r="O31" s="25" t="str"/>
    </x:row>
    <x:row r="32" ht="32" customHeight="1">
      <x:c r="A32" s="25" t="n">
        <x:v>28</x:v>
      </x:c>
      <x:c r="B32" s="25" t="str">
        <x:v>Reex</x:v>
      </x:c>
      <x:c r="C32" s="25" t="str">
        <x:v>Moneda / token</x:v>
      </x:c>
      <x:c r="D32" s="25" t="str">
        <x:v>Olympia</x:v>
      </x:c>
      <x:c r="E32" s="25" t="str">
        <x:v>Si</x:v>
      </x:c>
      <x:c r="F32" s="25" t="str">
        <x:v>Equivalencia canonica</x:v>
      </x:c>
      <x:c r="G32" s="48" t="n">
        <x:v>25</x:v>
      </x:c>
      <x:c r="H32" s="25" t="str">
        <x:v>EUR</x:v>
      </x:c>
      <x:c r="I32" s="43" t="n">
        <x:f>Equivalencias!$B$6</x:f>
        <x:v>25</x:v>
      </x:c>
      <x:c r="J32" s="25" t="str">
        <x:v>Vigente</x:v>
      </x:c>
      <x:c r="K32" s="25" t="str">
        <x:v>Equivalencia canonica</x:v>
      </x:c>
      <x:c r="L32" s="33" t="n">
        <x:v>46268.625</x:v>
      </x:c>
      <x:c r="M32" s="25" t="str">
        <x:v>Lista de Tokens - Meta EDU.xlsx</x:v>
      </x:c>
      <x:c r="N32" s="25" t="str">
        <x:v>Token de liquidez, necesario para realizar compras y pagos dentro de Olympia</x:v>
      </x:c>
      <x:c r="O32" s="25" t="str"/>
    </x:row>
    <x:row r="33" ht="32" customHeight="1">
      <x:c r="A33" s="25" t="n">
        <x:v>29</x:v>
      </x:c>
      <x:c r="B33" s="25" t="str">
        <x:v>Wnets</x:v>
      </x:c>
      <x:c r="C33" s="25" t="str">
        <x:v>Moneda / token</x:v>
      </x:c>
      <x:c r="D33" s="25" t="str">
        <x:v>NETSBO / Antallagi</x:v>
      </x:c>
      <x:c r="E33" s="25" t="str">
        <x:v>Si</x:v>
      </x:c>
      <x:c r="F33" s="25" t="str">
        <x:v>Referencia aportada</x:v>
      </x:c>
      <x:c r="G33" s="48" t="n">
        <x:v>6</x:v>
      </x:c>
      <x:c r="H33" s="25" t="str">
        <x:v>EUR</x:v>
      </x:c>
      <x:c r="I33" s="43" t="n">
        <x:f>G33</x:f>
        <x:v>6</x:v>
      </x:c>
      <x:c r="J33" s="25" t="str">
        <x:v>No canonica</x:v>
      </x:c>
      <x:c r="K33" s="25" t="str">
        <x:v>Referencia aportada</x:v>
      </x:c>
      <x:c r="L33" s="33" t="n">
        <x:v>46268.625</x:v>
      </x:c>
      <x:c r="M33" s="25" t="str">
        <x:v>Lista de Tokens - Meta EDU.xlsx</x:v>
      </x:c>
      <x:c r="N33" s="25" t="str">
        <x:v>Token para ser comercializado en el marketplace Antallagi, misma función que Nets</x:v>
      </x:c>
      <x:c r="O33" s="25" t="str"/>
    </x:row>
    <x:row r="34" ht="32" customHeight="1">
      <x:c r="A34" s="25" t="n">
        <x:v>30</x:v>
      </x:c>
      <x:c r="B34" s="25" t="str">
        <x:v>NLT Coin</x:v>
      </x:c>
      <x:c r="C34" s="25" t="str">
        <x:v>Moneda funcional</x:v>
      </x:c>
      <x:c r="D34" s="25" t="str">
        <x:v>Olympia / H-MAP Industries</x:v>
      </x:c>
      <x:c r="E34" s="25" t="str">
        <x:v>No</x:v>
      </x:c>
      <x:c r="F34" s="25" t="str">
        <x:v>Calculado por costo</x:v>
      </x:c>
      <x:c r="G34" s="48" t="n">
        <x:v>2</x:v>
      </x:c>
      <x:c r="H34" s="25" t="str">
        <x:v>HMAP / 1000 unidades</x:v>
      </x:c>
      <x:c r="I34" s="43" t="n">
        <x:f>Catalogo_HMAP!K9</x:f>
        <x:v>0.1</x:v>
      </x:c>
      <x:c r="J34" s="25" t="str">
        <x:v>Vigente segun fuente</x:v>
      </x:c>
      <x:c r="K34" s="25" t="str">
        <x:v>Calculado por costo</x:v>
      </x:c>
      <x:c r="L34" s="33" t="n">
        <x:v>46268.625</x:v>
      </x:c>
      <x:c r="M34" s="25" t="str">
        <x:v>Olympia Industries + Lista Meta EDU</x:v>
      </x:c>
      <x:c r="N34" s="25" t="str">
        <x:v>Amplia el limite de farming de GAMEGOS</x:v>
      </x:c>
      <x:c r="O34" s="25" t="str">
        <x:v>Al no poder transferirse, es indifirente buscarle un valor de referencia Registro duplicado consolidado entre la lista aportada y el catalogo oficial.</x:v>
      </x:c>
    </x:row>
    <x:row r="35" ht="32" customHeight="1">
      <x:c r="A35" s="25" t="n">
        <x:v>31</x:v>
      </x:c>
      <x:c r="B35" s="25" t="str">
        <x:v>Orbe de video: aluminio</x:v>
      </x:c>
      <x:c r="C35" s="25" t="str">
        <x:v>Objeto publicitario</x:v>
      </x:c>
      <x:c r="D35" s="25" t="str">
        <x:v>Olympia / H-MAP Industries</x:v>
      </x:c>
      <x:c r="E35" s="25" t="str">
        <x:v>No indicado</x:v>
      </x:c>
      <x:c r="F35" s="25" t="str">
        <x:v>Precio recomendado</x:v>
      </x:c>
      <x:c r="G35" s="48" t="n">
        <x:v>0.2</x:v>
      </x:c>
      <x:c r="H35" s="25" t="str">
        <x:v>REEX</x:v>
      </x:c>
      <x:c r="I35" s="43" t="n">
        <x:f>Catalogo_HMAP!K14</x:f>
        <x:v>5</x:v>
      </x:c>
      <x:c r="J35" s="25" t="str">
        <x:v>Vigente segun fuente</x:v>
      </x:c>
      <x:c r="K35" s="25" t="str">
        <x:v>Precio recomendado</x:v>
      </x:c>
      <x:c r="L35" s="33" t="n">
        <x:v>46268.625</x:v>
      </x:c>
      <x:c r="M35" s="25" t="str">
        <x:v>https://www.olympia-lab.com/es/industries/</x:v>
      </x:c>
      <x:c r="N35" s="25" t="str">
        <x:v>Reproduce video e incentiva interacciones</x:v>
      </x:c>
      <x:c r="O35" s="25" t="str"/>
    </x:row>
    <x:row r="36" ht="32" customHeight="1">
      <x:c r="A36" s="25" t="n">
        <x:v>32</x:v>
      </x:c>
      <x:c r="B36" s="25" t="str">
        <x:v>Orbe de video: caliza</x:v>
      </x:c>
      <x:c r="C36" s="25" t="str">
        <x:v>Objeto publicitario</x:v>
      </x:c>
      <x:c r="D36" s="25" t="str">
        <x:v>Olympia / H-MAP Industries</x:v>
      </x:c>
      <x:c r="E36" s="25" t="str">
        <x:v>No indicado</x:v>
      </x:c>
      <x:c r="F36" s="25" t="str">
        <x:v>Precio recomendado</x:v>
      </x:c>
      <x:c r="G36" s="48" t="n">
        <x:v>0.2</x:v>
      </x:c>
      <x:c r="H36" s="25" t="str">
        <x:v>REEX</x:v>
      </x:c>
      <x:c r="I36" s="43" t="n">
        <x:f>Catalogo_HMAP!K10</x:f>
        <x:v>5</x:v>
      </x:c>
      <x:c r="J36" s="25" t="str">
        <x:v>Vigente segun fuente</x:v>
      </x:c>
      <x:c r="K36" s="25" t="str">
        <x:v>Precio recomendado</x:v>
      </x:c>
      <x:c r="L36" s="33" t="n">
        <x:v>46268.625</x:v>
      </x:c>
      <x:c r="M36" s="25" t="str">
        <x:v>https://www.olympia-lab.com/es/industries/</x:v>
      </x:c>
      <x:c r="N36" s="25" t="str">
        <x:v>Reproduce video e incentiva interacciones</x:v>
      </x:c>
      <x:c r="O36" s="25" t="str"/>
    </x:row>
    <x:row r="37" ht="32" customHeight="1">
      <x:c r="A37" s="25" t="n">
        <x:v>33</x:v>
      </x:c>
      <x:c r="B37" s="25" t="str">
        <x:v>Orbe de video: carbon</x:v>
      </x:c>
      <x:c r="C37" s="25" t="str">
        <x:v>Objeto publicitario</x:v>
      </x:c>
      <x:c r="D37" s="25" t="str">
        <x:v>Olympia / H-MAP Industries</x:v>
      </x:c>
      <x:c r="E37" s="25" t="str">
        <x:v>No indicado</x:v>
      </x:c>
      <x:c r="F37" s="25" t="str">
        <x:v>Precio recomendado</x:v>
      </x:c>
      <x:c r="G37" s="48" t="n">
        <x:v>0.2</x:v>
      </x:c>
      <x:c r="H37" s="25" t="str">
        <x:v>REEX</x:v>
      </x:c>
      <x:c r="I37" s="43" t="n">
        <x:f>Catalogo_HMAP!K12</x:f>
        <x:v>5</x:v>
      </x:c>
      <x:c r="J37" s="25" t="str">
        <x:v>Vigente segun fuente</x:v>
      </x:c>
      <x:c r="K37" s="25" t="str">
        <x:v>Precio recomendado</x:v>
      </x:c>
      <x:c r="L37" s="33" t="n">
        <x:v>46268.625</x:v>
      </x:c>
      <x:c r="M37" s="25" t="str">
        <x:v>https://www.olympia-lab.com/es/industries/</x:v>
      </x:c>
      <x:c r="N37" s="25" t="str">
        <x:v>Reproduce video e incentiva interacciones</x:v>
      </x:c>
      <x:c r="O37" s="25" t="str"/>
    </x:row>
    <x:row r="38" ht="32" customHeight="1">
      <x:c r="A38" s="25" t="n">
        <x:v>34</x:v>
      </x:c>
      <x:c r="B38" s="25" t="str">
        <x:v>Orbe de video: cobre</x:v>
      </x:c>
      <x:c r="C38" s="25" t="str">
        <x:v>Objeto publicitario</x:v>
      </x:c>
      <x:c r="D38" s="25" t="str">
        <x:v>Olympia / H-MAP Industries</x:v>
      </x:c>
      <x:c r="E38" s="25" t="str">
        <x:v>No indicado</x:v>
      </x:c>
      <x:c r="F38" s="25" t="str">
        <x:v>Precio recomendado</x:v>
      </x:c>
      <x:c r="G38" s="48" t="n">
        <x:v>0.2</x:v>
      </x:c>
      <x:c r="H38" s="25" t="str">
        <x:v>REEX</x:v>
      </x:c>
      <x:c r="I38" s="43" t="n">
        <x:f>Catalogo_HMAP!K16</x:f>
        <x:v>5</x:v>
      </x:c>
      <x:c r="J38" s="25" t="str">
        <x:v>Vigente segun fuente</x:v>
      </x:c>
      <x:c r="K38" s="25" t="str">
        <x:v>Precio recomendado</x:v>
      </x:c>
      <x:c r="L38" s="33" t="n">
        <x:v>46268.625</x:v>
      </x:c>
      <x:c r="M38" s="25" t="str">
        <x:v>https://www.olympia-lab.com/es/industries/</x:v>
      </x:c>
      <x:c r="N38" s="25" t="str">
        <x:v>Reproduce video e incentiva interacciones</x:v>
      </x:c>
      <x:c r="O38" s="25" t="str"/>
    </x:row>
    <x:row r="39" ht="32" customHeight="1">
      <x:c r="A39" s="25" t="n">
        <x:v>35</x:v>
      </x:c>
      <x:c r="B39" s="25" t="str">
        <x:v>Orbe de video: galio</x:v>
      </x:c>
      <x:c r="C39" s="25" t="str">
        <x:v>Objeto publicitario</x:v>
      </x:c>
      <x:c r="D39" s="25" t="str">
        <x:v>Olympia / H-MAP Industries</x:v>
      </x:c>
      <x:c r="E39" s="25" t="str">
        <x:v>No indicado</x:v>
      </x:c>
      <x:c r="F39" s="25" t="str">
        <x:v>Precio recomendado</x:v>
      </x:c>
      <x:c r="G39" s="48" t="n">
        <x:v>0.2</x:v>
      </x:c>
      <x:c r="H39" s="25" t="str">
        <x:v>REEX</x:v>
      </x:c>
      <x:c r="I39" s="43" t="n">
        <x:f>Catalogo_HMAP!K18</x:f>
        <x:v>5</x:v>
      </x:c>
      <x:c r="J39" s="25" t="str">
        <x:v>Vigente segun fuente</x:v>
      </x:c>
      <x:c r="K39" s="25" t="str">
        <x:v>Precio recomendado</x:v>
      </x:c>
      <x:c r="L39" s="33" t="n">
        <x:v>46268.625</x:v>
      </x:c>
      <x:c r="M39" s="25" t="str">
        <x:v>https://www.olympia-lab.com/es/industries/</x:v>
      </x:c>
      <x:c r="N39" s="25" t="str">
        <x:v>Reproduce video e incentiva interacciones</x:v>
      </x:c>
      <x:c r="O39" s="25" t="str"/>
    </x:row>
    <x:row r="40" ht="32" customHeight="1">
      <x:c r="A40" s="25" t="n">
        <x:v>36</x:v>
      </x:c>
      <x:c r="B40" s="25" t="str">
        <x:v>Orbe de video: hierro</x:v>
      </x:c>
      <x:c r="C40" s="25" t="str">
        <x:v>Objeto publicitario</x:v>
      </x:c>
      <x:c r="D40" s="25" t="str">
        <x:v>Olympia / H-MAP Industries</x:v>
      </x:c>
      <x:c r="E40" s="25" t="str">
        <x:v>No indicado</x:v>
      </x:c>
      <x:c r="F40" s="25" t="str">
        <x:v>Precio recomendado</x:v>
      </x:c>
      <x:c r="G40" s="48" t="n">
        <x:v>0.2</x:v>
      </x:c>
      <x:c r="H40" s="25" t="str">
        <x:v>REEX</x:v>
      </x:c>
      <x:c r="I40" s="43" t="n">
        <x:f>Catalogo_HMAP!K15</x:f>
        <x:v>5</x:v>
      </x:c>
      <x:c r="J40" s="25" t="str">
        <x:v>Vigente segun fuente</x:v>
      </x:c>
      <x:c r="K40" s="25" t="str">
        <x:v>Precio recomendado</x:v>
      </x:c>
      <x:c r="L40" s="33" t="n">
        <x:v>46268.625</x:v>
      </x:c>
      <x:c r="M40" s="25" t="str">
        <x:v>https://www.olympia-lab.com/es/industries/</x:v>
      </x:c>
      <x:c r="N40" s="25" t="str">
        <x:v>Reproduce video e incentiva interacciones</x:v>
      </x:c>
      <x:c r="O40" s="25" t="str"/>
    </x:row>
    <x:row r="41" ht="32" customHeight="1">
      <x:c r="A41" s="25" t="n">
        <x:v>37</x:v>
      </x:c>
      <x:c r="B41" s="25" t="str">
        <x:v>Orbe de video: litio</x:v>
      </x:c>
      <x:c r="C41" s="25" t="str">
        <x:v>Objeto publicitario</x:v>
      </x:c>
      <x:c r="D41" s="25" t="str">
        <x:v>Olympia / H-MAP Industries</x:v>
      </x:c>
      <x:c r="E41" s="25" t="str">
        <x:v>No indicado</x:v>
      </x:c>
      <x:c r="F41" s="25" t="str">
        <x:v>Precio recomendado</x:v>
      </x:c>
      <x:c r="G41" s="48" t="n">
        <x:v>0.2</x:v>
      </x:c>
      <x:c r="H41" s="25" t="str">
        <x:v>REEX</x:v>
      </x:c>
      <x:c r="I41" s="43" t="n">
        <x:f>Catalogo_HMAP!K19</x:f>
        <x:v>5</x:v>
      </x:c>
      <x:c r="J41" s="25" t="str">
        <x:v>Vigente segun fuente</x:v>
      </x:c>
      <x:c r="K41" s="25" t="str">
        <x:v>Precio recomendado</x:v>
      </x:c>
      <x:c r="L41" s="33" t="n">
        <x:v>46268.625</x:v>
      </x:c>
      <x:c r="M41" s="25" t="str">
        <x:v>https://www.olympia-lab.com/es/industries/</x:v>
      </x:c>
      <x:c r="N41" s="25" t="str">
        <x:v>Reproduce video e incentiva interacciones</x:v>
      </x:c>
      <x:c r="O41" s="25" t="str"/>
    </x:row>
    <x:row r="42" ht="32" customHeight="1">
      <x:c r="A42" s="25" t="n">
        <x:v>38</x:v>
      </x:c>
      <x:c r="B42" s="25" t="str">
        <x:v>Orbe de video: oro</x:v>
      </x:c>
      <x:c r="C42" s="25" t="str">
        <x:v>Objeto publicitario</x:v>
      </x:c>
      <x:c r="D42" s="25" t="str">
        <x:v>Olympia / H-MAP Industries</x:v>
      </x:c>
      <x:c r="E42" s="25" t="str">
        <x:v>No indicado</x:v>
      </x:c>
      <x:c r="F42" s="25" t="str">
        <x:v>Precio recomendado</x:v>
      </x:c>
      <x:c r="G42" s="48" t="n">
        <x:v>0.2</x:v>
      </x:c>
      <x:c r="H42" s="25" t="str">
        <x:v>REEX</x:v>
      </x:c>
      <x:c r="I42" s="43" t="n">
        <x:f>Catalogo_HMAP!K22</x:f>
        <x:v>5</x:v>
      </x:c>
      <x:c r="J42" s="25" t="str">
        <x:v>Vigente segun fuente</x:v>
      </x:c>
      <x:c r="K42" s="25" t="str">
        <x:v>Precio recomendado</x:v>
      </x:c>
      <x:c r="L42" s="33" t="n">
        <x:v>46268.625</x:v>
      </x:c>
      <x:c r="M42" s="25" t="str">
        <x:v>https://www.olympia-lab.com/es/industries/</x:v>
      </x:c>
      <x:c r="N42" s="25" t="str">
        <x:v>Reproduce video e incentiva interacciones</x:v>
      </x:c>
      <x:c r="O42" s="25" t="str"/>
    </x:row>
    <x:row r="43" ht="32" customHeight="1">
      <x:c r="A43" s="25" t="n">
        <x:v>39</x:v>
      </x:c>
      <x:c r="B43" s="25" t="str">
        <x:v>Orbe de video: petroleo</x:v>
      </x:c>
      <x:c r="C43" s="25" t="str">
        <x:v>Objeto publicitario</x:v>
      </x:c>
      <x:c r="D43" s="25" t="str">
        <x:v>Olympia / H-MAP Industries</x:v>
      </x:c>
      <x:c r="E43" s="25" t="str">
        <x:v>No indicado</x:v>
      </x:c>
      <x:c r="F43" s="25" t="str">
        <x:v>Precio recomendado</x:v>
      </x:c>
      <x:c r="G43" s="48" t="n">
        <x:v>0.2</x:v>
      </x:c>
      <x:c r="H43" s="25" t="str">
        <x:v>REEX</x:v>
      </x:c>
      <x:c r="I43" s="43" t="n">
        <x:f>Catalogo_HMAP!K13</x:f>
        <x:v>5</x:v>
      </x:c>
      <x:c r="J43" s="25" t="str">
        <x:v>Vigente segun fuente</x:v>
      </x:c>
      <x:c r="K43" s="25" t="str">
        <x:v>Precio recomendado</x:v>
      </x:c>
      <x:c r="L43" s="33" t="n">
        <x:v>46268.625</x:v>
      </x:c>
      <x:c r="M43" s="25" t="str">
        <x:v>https://www.olympia-lab.com/es/industries/</x:v>
      </x:c>
      <x:c r="N43" s="25" t="str">
        <x:v>Reproduce video e incentiva interacciones</x:v>
      </x:c>
      <x:c r="O43" s="25" t="str"/>
    </x:row>
    <x:row r="44" ht="32" customHeight="1">
      <x:c r="A44" s="25" t="n">
        <x:v>40</x:v>
      </x:c>
      <x:c r="B44" s="25" t="str">
        <x:v>Orbe de video: plata</x:v>
      </x:c>
      <x:c r="C44" s="25" t="str">
        <x:v>Objeto publicitario</x:v>
      </x:c>
      <x:c r="D44" s="25" t="str">
        <x:v>Olympia / H-MAP Industries</x:v>
      </x:c>
      <x:c r="E44" s="25" t="str">
        <x:v>No indicado</x:v>
      </x:c>
      <x:c r="F44" s="25" t="str">
        <x:v>Precio recomendado</x:v>
      </x:c>
      <x:c r="G44" s="48" t="n">
        <x:v>0.2</x:v>
      </x:c>
      <x:c r="H44" s="25" t="str">
        <x:v>REEX</x:v>
      </x:c>
      <x:c r="I44" s="43" t="n">
        <x:f>Catalogo_HMAP!K21</x:f>
        <x:v>5</x:v>
      </x:c>
      <x:c r="J44" s="25" t="str">
        <x:v>Vigente segun fuente</x:v>
      </x:c>
      <x:c r="K44" s="25" t="str">
        <x:v>Precio recomendado</x:v>
      </x:c>
      <x:c r="L44" s="33" t="n">
        <x:v>46268.625</x:v>
      </x:c>
      <x:c r="M44" s="25" t="str">
        <x:v>https://www.olympia-lab.com/es/industries/</x:v>
      </x:c>
      <x:c r="N44" s="25" t="str">
        <x:v>Reproduce video e incentiva interacciones</x:v>
      </x:c>
      <x:c r="O44" s="25" t="str"/>
    </x:row>
    <x:row r="45" ht="32" customHeight="1">
      <x:c r="A45" s="25" t="n">
        <x:v>41</x:v>
      </x:c>
      <x:c r="B45" s="25" t="str">
        <x:v>Orbe de video: silicio</x:v>
      </x:c>
      <x:c r="C45" s="25" t="str">
        <x:v>Objeto publicitario</x:v>
      </x:c>
      <x:c r="D45" s="25" t="str">
        <x:v>Olympia / H-MAP Industries</x:v>
      </x:c>
      <x:c r="E45" s="25" t="str">
        <x:v>No indicado</x:v>
      </x:c>
      <x:c r="F45" s="25" t="str">
        <x:v>Precio recomendado</x:v>
      </x:c>
      <x:c r="G45" s="48" t="n">
        <x:v>0.2</x:v>
      </x:c>
      <x:c r="H45" s="25" t="str">
        <x:v>REEX</x:v>
      </x:c>
      <x:c r="I45" s="43" t="n">
        <x:f>Catalogo_HMAP!K11</x:f>
        <x:v>5</x:v>
      </x:c>
      <x:c r="J45" s="25" t="str">
        <x:v>Vigente segun fuente</x:v>
      </x:c>
      <x:c r="K45" s="25" t="str">
        <x:v>Precio recomendado</x:v>
      </x:c>
      <x:c r="L45" s="33" t="n">
        <x:v>46268.625</x:v>
      </x:c>
      <x:c r="M45" s="25" t="str">
        <x:v>https://www.olympia-lab.com/es/industries/</x:v>
      </x:c>
      <x:c r="N45" s="25" t="str">
        <x:v>Reproduce video e incentiva interacciones</x:v>
      </x:c>
      <x:c r="O45" s="25" t="str"/>
    </x:row>
    <x:row r="46" ht="32" customHeight="1">
      <x:c r="A46" s="25" t="n">
        <x:v>42</x:v>
      </x:c>
      <x:c r="B46" s="25" t="str">
        <x:v>Orbe de video: titanio</x:v>
      </x:c>
      <x:c r="C46" s="25" t="str">
        <x:v>Objeto publicitario</x:v>
      </x:c>
      <x:c r="D46" s="25" t="str">
        <x:v>Olympia / H-MAP Industries</x:v>
      </x:c>
      <x:c r="E46" s="25" t="str">
        <x:v>No indicado</x:v>
      </x:c>
      <x:c r="F46" s="25" t="str">
        <x:v>Precio recomendado</x:v>
      </x:c>
      <x:c r="G46" s="48" t="n">
        <x:v>0.2</x:v>
      </x:c>
      <x:c r="H46" s="25" t="str">
        <x:v>REEX</x:v>
      </x:c>
      <x:c r="I46" s="43" t="n">
        <x:f>Catalogo_HMAP!K17</x:f>
        <x:v>5</x:v>
      </x:c>
      <x:c r="J46" s="25" t="str">
        <x:v>Vigente segun fuente</x:v>
      </x:c>
      <x:c r="K46" s="25" t="str">
        <x:v>Precio recomendado</x:v>
      </x:c>
      <x:c r="L46" s="33" t="n">
        <x:v>46268.625</x:v>
      </x:c>
      <x:c r="M46" s="25" t="str">
        <x:v>https://www.olympia-lab.com/es/industries/</x:v>
      </x:c>
      <x:c r="N46" s="25" t="str">
        <x:v>Reproduce video e incentiva interacciones</x:v>
      </x:c>
      <x:c r="O46" s="25" t="str"/>
    </x:row>
    <x:row r="47" ht="32" customHeight="1">
      <x:c r="A47" s="25" t="n">
        <x:v>43</x:v>
      </x:c>
      <x:c r="B47" s="25" t="str">
        <x:v>Bateria</x:v>
      </x:c>
      <x:c r="C47" s="25" t="str">
        <x:v>Orbe / interaccion</x:v>
      </x:c>
      <x:c r="D47" s="25" t="str">
        <x:v>TerritoryX / MOG</x:v>
      </x:c>
      <x:c r="E47" s="25" t="str">
        <x:v>Si</x:v>
      </x:c>
      <x:c r="F47" s="25" t="str">
        <x:v>Referencia aportada</x:v>
      </x:c>
      <x:c r="G47" s="48" t="n">
        <x:v>1</x:v>
      </x:c>
      <x:c r="H47" s="25" t="str">
        <x:v>EUR</x:v>
      </x:c>
      <x:c r="I47" s="43" t="n">
        <x:f>G47</x:f>
        <x:v>1</x:v>
      </x:c>
      <x:c r="J47" s="25" t="str">
        <x:v>No canonica</x:v>
      </x:c>
      <x:c r="K47" s="25" t="str">
        <x:v>Referencia aportada</x:v>
      </x:c>
      <x:c r="L47" s="33" t="n">
        <x:v>46268.625</x:v>
      </x:c>
      <x:c r="M47" s="25" t="str">
        <x:v>Lista de Tokens - Meta EDU.xlsx</x:v>
      </x:c>
      <x:c r="N47" s="25" t="str">
        <x:v>Objeto que se utiliza para recargar orbes cuando estén a punto de agotarse</x:v>
      </x:c>
      <x:c r="O47" s="25" t="str"/>
    </x:row>
    <x:row r="48" ht="32" customHeight="1">
      <x:c r="A48" s="25" t="n">
        <x:v>44</x:v>
      </x:c>
      <x:c r="B48" s="25" t="str">
        <x:v>Extra Orb</x:v>
      </x:c>
      <x:c r="C48" s="25" t="str">
        <x:v>Orbe / interaccion</x:v>
      </x:c>
      <x:c r="D48" s="25" t="str">
        <x:v>TerritoryX / MOG</x:v>
      </x:c>
      <x:c r="E48" s="25" t="str">
        <x:v>No</x:v>
      </x:c>
      <x:c r="F48" s="25" t="str">
        <x:v>Referencia aportada</x:v>
      </x:c>
      <x:c r="G48" s="48" t="n">
        <x:v>60</x:v>
      </x:c>
      <x:c r="H48" s="25" t="str">
        <x:v>EUR</x:v>
      </x:c>
      <x:c r="I48" s="43" t="n">
        <x:f>G48</x:f>
        <x:v>60</x:v>
      </x:c>
      <x:c r="J48" s="25" t="str">
        <x:v>No canonica</x:v>
      </x:c>
      <x:c r="K48" s="25" t="str">
        <x:v>Referencia aportada</x:v>
      </x:c>
      <x:c r="L48" s="33" t="n">
        <x:v>46268.625</x:v>
      </x:c>
      <x:c r="M48" s="25" t="str">
        <x:v>Lista de Tokens - Meta EDU.xlsx</x:v>
      </x:c>
      <x:c r="N48" s="25" t="str">
        <x:v>Booster que permite colocar 1 orbe demas en la parcela</x:v>
      </x:c>
      <x:c r="O48" s="25" t="str">
        <x:v>Referencia MOG: 1 Dominion.</x:v>
      </x:c>
    </x:row>
    <x:row r="49" ht="32" customHeight="1">
      <x:c r="A49" s="25" t="n">
        <x:v>45</x:v>
      </x:c>
      <x:c r="B49" s="25" t="str">
        <x:v>Game GOS</x:v>
      </x:c>
      <x:c r="C49" s="25" t="str">
        <x:v>Orbe / interaccion</x:v>
      </x:c>
      <x:c r="D49" s="25" t="str">
        <x:v>TerritoryX / MOG</x:v>
      </x:c>
      <x:c r="E49" s="25" t="str">
        <x:v>No</x:v>
      </x:c>
      <x:c r="F49" s="25" t="str">
        <x:v>Referencia aportada</x:v>
      </x:c>
      <x:c r="G49" s="48" t="n">
        <x:v>50</x:v>
      </x:c>
      <x:c r="H49" s="25" t="str">
        <x:v>EUR</x:v>
      </x:c>
      <x:c r="I49" s="43" t="n">
        <x:f>G49</x:f>
        <x:v>50</x:v>
      </x:c>
      <x:c r="J49" s="25" t="str">
        <x:v>No canonica</x:v>
      </x:c>
      <x:c r="K49" s="25" t="str">
        <x:v>Referencia aportada</x:v>
      </x:c>
      <x:c r="L49" s="33" t="n">
        <x:v>46268.625</x:v>
      </x:c>
      <x:c r="M49" s="25" t="str">
        <x:v>Lista de Tokens - Meta EDU.xlsx</x:v>
      </x:c>
      <x:c r="N49" s="25" t="str">
        <x:v>Token para crear Hexas, orbes y baterias</x:v>
      </x:c>
      <x:c r="O49" s="25" t="str"/>
    </x:row>
    <x:row r="50" ht="32" customHeight="1">
      <x:c r="A50" s="25" t="n">
        <x:v>46</x:v>
      </x:c>
      <x:c r="B50" s="25" t="str">
        <x:v>Magic Line</x:v>
      </x:c>
      <x:c r="C50" s="25" t="str">
        <x:v>Orbe / interaccion</x:v>
      </x:c>
      <x:c r="D50" s="25" t="str">
        <x:v>TerritoryX / MOG</x:v>
      </x:c>
      <x:c r="E50" s="25" t="str">
        <x:v>No</x:v>
      </x:c>
      <x:c r="F50" s="25" t="str">
        <x:v>Referencia aportada</x:v>
      </x:c>
      <x:c r="G50" s="48" t="n">
        <x:v>120</x:v>
      </x:c>
      <x:c r="H50" s="25" t="str">
        <x:v>EUR</x:v>
      </x:c>
      <x:c r="I50" s="43" t="n">
        <x:f>G50</x:f>
        <x:v>120</x:v>
      </x:c>
      <x:c r="J50" s="25" t="str">
        <x:v>No canonica</x:v>
      </x:c>
      <x:c r="K50" s="25" t="str">
        <x:v>Referencia aportada</x:v>
      </x:c>
      <x:c r="L50" s="33" t="n">
        <x:v>46268.625</x:v>
      </x:c>
      <x:c r="M50" s="25" t="str">
        <x:v>Lista de Tokens - Meta EDU.xlsx</x:v>
      </x:c>
      <x:c r="N50" s="25" t="str">
        <x:v>Booster que coloca orbes trazando un recorrido para el jugador</x:v>
      </x:c>
      <x:c r="O50" s="25" t="str">
        <x:v>Referencia MOG: 2 Dominion.</x:v>
      </x:c>
    </x:row>
    <x:row r="51" ht="32" customHeight="1">
      <x:c r="A51" s="25" t="n">
        <x:v>47</x:v>
      </x:c>
      <x:c r="B51" s="25" t="str">
        <x:v>Orb Auto-Setter</x:v>
      </x:c>
      <x:c r="C51" s="25" t="str">
        <x:v>Orbe / interaccion</x:v>
      </x:c>
      <x:c r="D51" s="25" t="str">
        <x:v>TerritoryX / MOG</x:v>
      </x:c>
      <x:c r="E51" s="25" t="str">
        <x:v>No</x:v>
      </x:c>
      <x:c r="F51" s="25" t="str">
        <x:v>Referencia aportada</x:v>
      </x:c>
      <x:c r="G51" s="48" t="n">
        <x:v>60</x:v>
      </x:c>
      <x:c r="H51" s="25" t="str">
        <x:v>EUR</x:v>
      </x:c>
      <x:c r="I51" s="43" t="n">
        <x:f>G51</x:f>
        <x:v>60</x:v>
      </x:c>
      <x:c r="J51" s="25" t="str">
        <x:v>No canonica</x:v>
      </x:c>
      <x:c r="K51" s="25" t="str">
        <x:v>Referencia aportada</x:v>
      </x:c>
      <x:c r="L51" s="33" t="n">
        <x:v>46268.625</x:v>
      </x:c>
      <x:c r="M51" s="25" t="str">
        <x:v>Lista de Tokens - Meta EDU.xlsx</x:v>
      </x:c>
      <x:c r="N51" s="25" t="str">
        <x:v>Booster que colocar orbes sin la orden del MOG</x:v>
      </x:c>
      <x:c r="O51" s="25" t="str">
        <x:v>Referencia MOG: 1 Dominion.</x:v>
      </x:c>
    </x:row>
    <x:row r="52" ht="32" customHeight="1">
      <x:c r="A52" s="25" t="n">
        <x:v>48</x:v>
      </x:c>
      <x:c r="B52" s="25" t="str">
        <x:v>Orb Commander</x:v>
      </x:c>
      <x:c r="C52" s="25" t="str">
        <x:v>Orbe / interaccion</x:v>
      </x:c>
      <x:c r="D52" s="25" t="str">
        <x:v>TerritoryX / MOG</x:v>
      </x:c>
      <x:c r="E52" s="25" t="str">
        <x:v>No</x:v>
      </x:c>
      <x:c r="F52" s="25" t="str">
        <x:v>Referencia aportada</x:v>
      </x:c>
      <x:c r="G52" s="48" t="n">
        <x:v>60</x:v>
      </x:c>
      <x:c r="H52" s="25" t="str">
        <x:v>EUR</x:v>
      </x:c>
      <x:c r="I52" s="43" t="n">
        <x:f>G52</x:f>
        <x:v>60</x:v>
      </x:c>
      <x:c r="J52" s="25" t="str">
        <x:v>No canonica</x:v>
      </x:c>
      <x:c r="K52" s="25" t="str">
        <x:v>Referencia aportada</x:v>
      </x:c>
      <x:c r="L52" s="33" t="n">
        <x:v>46268.625</x:v>
      </x:c>
      <x:c r="M52" s="25" t="str">
        <x:v>Lista de Tokens - Meta EDU.xlsx</x:v>
      </x:c>
      <x:c r="N52" s="25" t="str">
        <x:v>Booster que ayuda a colocar orbes de manera automatica </x:v>
      </x:c>
      <x:c r="O52" s="25" t="str">
        <x:v>Referencia MOG: 1 Dominion.</x:v>
      </x:c>
    </x:row>
    <x:row r="53" ht="32" customHeight="1">
      <x:c r="A53" s="25" t="n">
        <x:v>49</x:v>
      </x:c>
      <x:c r="B53" s="25" t="str">
        <x:v>Orb Master</x:v>
      </x:c>
      <x:c r="C53" s="25" t="str">
        <x:v>Orbe / interaccion</x:v>
      </x:c>
      <x:c r="D53" s="25" t="str">
        <x:v>TerritoryX / MOG</x:v>
      </x:c>
      <x:c r="E53" s="25" t="str">
        <x:v>No</x:v>
      </x:c>
      <x:c r="F53" s="25" t="str">
        <x:v>Referencia aportada</x:v>
      </x:c>
      <x:c r="G53" s="48" t="n">
        <x:v>60</x:v>
      </x:c>
      <x:c r="H53" s="25" t="str">
        <x:v>EUR</x:v>
      </x:c>
      <x:c r="I53" s="43" t="n">
        <x:f>G53</x:f>
        <x:v>60</x:v>
      </x:c>
      <x:c r="J53" s="25" t="str">
        <x:v>No canonica</x:v>
      </x:c>
      <x:c r="K53" s="25" t="str">
        <x:v>Referencia aportada</x:v>
      </x:c>
      <x:c r="L53" s="33" t="n">
        <x:v>46268.625</x:v>
      </x:c>
      <x:c r="M53" s="25" t="str">
        <x:v>Lista de Tokens - Meta EDU.xlsx</x:v>
      </x:c>
      <x:c r="N53" s="25" t="str">
        <x:v>Booster que ayuda a colocar orbes standar de diferentes colores de manera automatica </x:v>
      </x:c>
      <x:c r="O53" s="25" t="str">
        <x:v>Referencia MOG: 1 Dominion.</x:v>
      </x:c>
    </x:row>
    <x:row r="54" ht="32" customHeight="1">
      <x:c r="A54" s="25" t="n">
        <x:v>50</x:v>
      </x:c>
      <x:c r="B54" s="25" t="str">
        <x:v>Orbe Azul</x:v>
      </x:c>
      <x:c r="C54" s="25" t="str">
        <x:v>Orbe / interaccion</x:v>
      </x:c>
      <x:c r="D54" s="25" t="str">
        <x:v>TerritoryX / MOG</x:v>
      </x:c>
      <x:c r="E54" s="25" t="str">
        <x:v>Si</x:v>
      </x:c>
      <x:c r="F54" s="25" t="str">
        <x:v>Referencia aportada</x:v>
      </x:c>
      <x:c r="G54" s="48" t="n">
        <x:v>0.25</x:v>
      </x:c>
      <x:c r="H54" s="25" t="str">
        <x:v>EUR</x:v>
      </x:c>
      <x:c r="I54" s="43" t="n">
        <x:f>G54</x:f>
        <x:v>0.25</x:v>
      </x:c>
      <x:c r="J54" s="25" t="str">
        <x:v>No canonica</x:v>
      </x:c>
      <x:c r="K54" s="25" t="str">
        <x:v>Referencia aportada</x:v>
      </x:c>
      <x:c r="L54" s="33" t="n">
        <x:v>46268.625</x:v>
      </x:c>
      <x:c r="M54" s="25" t="str">
        <x:v>Lista de Tokens - Meta EDU.xlsx</x:v>
      </x:c>
      <x:c r="N54" s="25" t="str">
        <x:v>Punto de interacción standar que proporciona recursos al jugador y al MOG</x:v>
      </x:c>
      <x:c r="O54" s="25" t="str"/>
    </x:row>
    <x:row r="55" ht="32" customHeight="1">
      <x:c r="A55" s="25" t="n">
        <x:v>51</x:v>
      </x:c>
      <x:c r="B55" s="25" t="str">
        <x:v>Orbe Naranja (Maps) 1h</x:v>
      </x:c>
      <x:c r="C55" s="25" t="str">
        <x:v>Orbe / interaccion</x:v>
      </x:c>
      <x:c r="D55" s="25" t="str">
        <x:v>TerritoryX / MOG</x:v>
      </x:c>
      <x:c r="E55" s="25" t="str">
        <x:v>Si</x:v>
      </x:c>
      <x:c r="F55" s="25" t="str">
        <x:v>Referencia aportada</x:v>
      </x:c>
      <x:c r="G55" s="48" t="n">
        <x:v>1</x:v>
      </x:c>
      <x:c r="H55" s="25" t="str">
        <x:v>EUR</x:v>
      </x:c>
      <x:c r="I55" s="43" t="n">
        <x:f>G55</x:f>
        <x:v>1</x:v>
      </x:c>
      <x:c r="J55" s="25" t="str">
        <x:v>No canonica</x:v>
      </x:c>
      <x:c r="K55" s="25" t="str">
        <x:v>Referencia aportada</x:v>
      </x:c>
      <x:c r="L55" s="33" t="n">
        <x:v>46268.625</x:v>
      </x:c>
      <x:c r="M55" s="25" t="str">
        <x:v>Lista de Tokens - Meta EDU.xlsx</x:v>
      </x:c>
      <x:c r="N55" s="25" t="str">
        <x:v>Punto de interacción (mostrando un texto a la distancia) que proporciona recursos al jugador y al MOG</x:v>
      </x:c>
      <x:c r="O55" s="25" t="str"/>
    </x:row>
    <x:row r="56" ht="32" customHeight="1">
      <x:c r="A56" s="25" t="n">
        <x:v>52</x:v>
      </x:c>
      <x:c r="B56" s="25" t="str">
        <x:v>Orbe Naranja (Maps) 5m</x:v>
      </x:c>
      <x:c r="C56" s="25" t="str">
        <x:v>Orbe / interaccion</x:v>
      </x:c>
      <x:c r="D56" s="25" t="str">
        <x:v>TerritoryX / MOG</x:v>
      </x:c>
      <x:c r="E56" s="25" t="str">
        <x:v>Si</x:v>
      </x:c>
      <x:c r="F56" s="25" t="str">
        <x:v>Referencia aportada</x:v>
      </x:c>
      <x:c r="G56" s="48" t="n">
        <x:v>1.5</x:v>
      </x:c>
      <x:c r="H56" s="25" t="str">
        <x:v>EUR</x:v>
      </x:c>
      <x:c r="I56" s="43" t="n">
        <x:f>G56</x:f>
        <x:v>1.5</x:v>
      </x:c>
      <x:c r="J56" s="25" t="str">
        <x:v>No canonica</x:v>
      </x:c>
      <x:c r="K56" s="25" t="str">
        <x:v>Referencia aportada</x:v>
      </x:c>
      <x:c r="L56" s="33" t="n">
        <x:v>46268.625</x:v>
      </x:c>
      <x:c r="M56" s="25" t="str">
        <x:v>Lista de Tokens - Meta EDU.xlsx</x:v>
      </x:c>
      <x:c r="N56" s="25" t="str">
        <x:v>Punto de interacción (mostrando un texto a la distancia) que proporciona recursos al jugador y al MOG</x:v>
      </x:c>
      <x:c r="O56" s="25" t="str"/>
    </x:row>
    <x:row r="57" ht="32" customHeight="1">
      <x:c r="A57" s="25" t="n">
        <x:v>53</x:v>
      </x:c>
      <x:c r="B57" s="25" t="str">
        <x:v>Orbe Rojo</x:v>
      </x:c>
      <x:c r="C57" s="25" t="str">
        <x:v>Orbe / interaccion</x:v>
      </x:c>
      <x:c r="D57" s="25" t="str">
        <x:v>TerritoryX / MOG</x:v>
      </x:c>
      <x:c r="E57" s="25" t="str">
        <x:v>Si</x:v>
      </x:c>
      <x:c r="F57" s="25" t="str">
        <x:v>Referencia aportada</x:v>
      </x:c>
      <x:c r="G57" s="48" t="n">
        <x:v>1.5</x:v>
      </x:c>
      <x:c r="H57" s="25" t="str">
        <x:v>EUR</x:v>
      </x:c>
      <x:c r="I57" s="43" t="n">
        <x:f>G57</x:f>
        <x:v>1.5</x:v>
      </x:c>
      <x:c r="J57" s="25" t="str">
        <x:v>No canonica</x:v>
      </x:c>
      <x:c r="K57" s="25" t="str">
        <x:v>Referencia aportada</x:v>
      </x:c>
      <x:c r="L57" s="33" t="n">
        <x:v>46268.625</x:v>
      </x:c>
      <x:c r="M57" s="25" t="str">
        <x:v>Lista de Tokens - Meta EDU.xlsx</x:v>
      </x:c>
      <x:c r="N57" s="25" t="str">
        <x:v>Punto de interacción standar que proporciona recursos al jugador y al MOG</x:v>
      </x:c>
      <x:c r="O57" s="25" t="str"/>
    </x:row>
    <x:row r="58" ht="32" customHeight="1">
      <x:c r="A58" s="25" t="n">
        <x:v>54</x:v>
      </x:c>
      <x:c r="B58" s="25" t="str">
        <x:v>Orbe Verde</x:v>
      </x:c>
      <x:c r="C58" s="25" t="str">
        <x:v>Orbe / interaccion</x:v>
      </x:c>
      <x:c r="D58" s="25" t="str">
        <x:v>TerritoryX / MOG</x:v>
      </x:c>
      <x:c r="E58" s="25" t="str">
        <x:v>Si</x:v>
      </x:c>
      <x:c r="F58" s="25" t="str">
        <x:v>Referencia aportada</x:v>
      </x:c>
      <x:c r="G58" s="48" t="n">
        <x:v>0.5</x:v>
      </x:c>
      <x:c r="H58" s="25" t="str">
        <x:v>EUR</x:v>
      </x:c>
      <x:c r="I58" s="43" t="n">
        <x:f>G58</x:f>
        <x:v>0.5</x:v>
      </x:c>
      <x:c r="J58" s="25" t="str">
        <x:v>No canonica</x:v>
      </x:c>
      <x:c r="K58" s="25" t="str">
        <x:v>Referencia aportada</x:v>
      </x:c>
      <x:c r="L58" s="33" t="n">
        <x:v>46268.625</x:v>
      </x:c>
      <x:c r="M58" s="25" t="str">
        <x:v>Lista de Tokens - Meta EDU.xlsx</x:v>
      </x:c>
      <x:c r="N58" s="25" t="str">
        <x:v>Punto de interacción standar que proporciona recursos al jugador y al MOG</x:v>
      </x:c>
      <x:c r="O58" s="25" t="str"/>
    </x:row>
    <x:row r="59" ht="32" customHeight="1">
      <x:c r="A59" s="25" t="n">
        <x:v>55</x:v>
      </x:c>
      <x:c r="B59" s="25" t="str">
        <x:v>Orbe Violeta (Bilboard) 1h</x:v>
      </x:c>
      <x:c r="C59" s="25" t="str">
        <x:v>Orbe / interaccion</x:v>
      </x:c>
      <x:c r="D59" s="25" t="str">
        <x:v>TerritoryX / MOG</x:v>
      </x:c>
      <x:c r="E59" s="25" t="str">
        <x:v>Si</x:v>
      </x:c>
      <x:c r="F59" s="25" t="str">
        <x:v>Referencia aportada</x:v>
      </x:c>
      <x:c r="G59" s="48" t="n">
        <x:v>1</x:v>
      </x:c>
      <x:c r="H59" s="25" t="str">
        <x:v>EUR</x:v>
      </x:c>
      <x:c r="I59" s="43" t="n">
        <x:f>G59</x:f>
        <x:v>1</x:v>
      </x:c>
      <x:c r="J59" s="25" t="str">
        <x:v>No canonica</x:v>
      </x:c>
      <x:c r="K59" s="25" t="str">
        <x:v>Referencia aportada</x:v>
      </x:c>
      <x:c r="L59" s="33" t="n">
        <x:v>46268.625</x:v>
      </x:c>
      <x:c r="M59" s="25" t="str">
        <x:v>Lista de Tokens - Meta EDU.xlsx</x:v>
      </x:c>
      <x:c r="N59" s="25" t="str">
        <x:v>Punto de interacción (mostrando un texto) que proporciona recursos al jugador y al MOG</x:v>
      </x:c>
      <x:c r="O59" s="25" t="str"/>
    </x:row>
    <x:row r="60" ht="32" customHeight="1">
      <x:c r="A60" s="25" t="n">
        <x:v>56</x:v>
      </x:c>
      <x:c r="B60" s="25" t="str">
        <x:v>Orbe Violeta (Bilboard) 1m</x:v>
      </x:c>
      <x:c r="C60" s="25" t="str">
        <x:v>Orbe / interaccion</x:v>
      </x:c>
      <x:c r="D60" s="25" t="str">
        <x:v>TerritoryX / MOG</x:v>
      </x:c>
      <x:c r="E60" s="25" t="str">
        <x:v>Si</x:v>
      </x:c>
      <x:c r="F60" s="25" t="str">
        <x:v>Referencia aportada</x:v>
      </x:c>
      <x:c r="G60" s="48" t="n">
        <x:v>2</x:v>
      </x:c>
      <x:c r="H60" s="25" t="str">
        <x:v>EUR</x:v>
      </x:c>
      <x:c r="I60" s="43" t="n">
        <x:f>G60</x:f>
        <x:v>2</x:v>
      </x:c>
      <x:c r="J60" s="25" t="str">
        <x:v>No canonica</x:v>
      </x:c>
      <x:c r="K60" s="25" t="str">
        <x:v>Referencia aportada</x:v>
      </x:c>
      <x:c r="L60" s="33" t="n">
        <x:v>46268.625</x:v>
      </x:c>
      <x:c r="M60" s="25" t="str">
        <x:v>Lista de Tokens - Meta EDU.xlsx</x:v>
      </x:c>
      <x:c r="N60" s="25" t="str">
        <x:v>Punto de interacción (mostrando un texto) que proporciona recursos al jugador y al MOG</x:v>
      </x:c>
      <x:c r="O60" s="25" t="str"/>
    </x:row>
    <x:row r="61" ht="32" customHeight="1">
      <x:c r="A61" s="25" t="n">
        <x:v>57</x:v>
      </x:c>
      <x:c r="B61" s="25" t="str">
        <x:v>Orbe Violeta (Bilboard) 5m</x:v>
      </x:c>
      <x:c r="C61" s="25" t="str">
        <x:v>Orbe / interaccion</x:v>
      </x:c>
      <x:c r="D61" s="25" t="str">
        <x:v>TerritoryX / MOG</x:v>
      </x:c>
      <x:c r="E61" s="25" t="str">
        <x:v>Si</x:v>
      </x:c>
      <x:c r="F61" s="25" t="str">
        <x:v>Referencia aportada</x:v>
      </x:c>
      <x:c r="G61" s="48" t="n">
        <x:v>1.5</x:v>
      </x:c>
      <x:c r="H61" s="25" t="str">
        <x:v>EUR</x:v>
      </x:c>
      <x:c r="I61" s="43" t="n">
        <x:f>G61</x:f>
        <x:v>1.5</x:v>
      </x:c>
      <x:c r="J61" s="25" t="str">
        <x:v>No canonica</x:v>
      </x:c>
      <x:c r="K61" s="25" t="str">
        <x:v>Referencia aportada</x:v>
      </x:c>
      <x:c r="L61" s="33" t="n">
        <x:v>46268.625</x:v>
      </x:c>
      <x:c r="M61" s="25" t="str">
        <x:v>Lista de Tokens - Meta EDU.xlsx</x:v>
      </x:c>
      <x:c r="N61" s="25" t="str">
        <x:v>Punto de interacción (mostrando un texto) que proporciona recursos al jugador y al MOG</x:v>
      </x:c>
      <x:c r="O61" s="25" t="str"/>
    </x:row>
    <x:row r="62" ht="32" customHeight="1">
      <x:c r="A62" s="25" t="n">
        <x:v>58</x:v>
      </x:c>
      <x:c r="B62" s="25" t="str">
        <x:v>Re-charger</x:v>
      </x:c>
      <x:c r="C62" s="25" t="str">
        <x:v>Orbe / interaccion</x:v>
      </x:c>
      <x:c r="D62" s="25" t="str">
        <x:v>TerritoryX / MOG</x:v>
      </x:c>
      <x:c r="E62" s="25" t="str">
        <x:v>No</x:v>
      </x:c>
      <x:c r="F62" s="25" t="str">
        <x:v>Referencia aportada</x:v>
      </x:c>
      <x:c r="G62" s="48" t="n">
        <x:v>60</x:v>
      </x:c>
      <x:c r="H62" s="25" t="str">
        <x:v>EUR</x:v>
      </x:c>
      <x:c r="I62" s="43" t="n">
        <x:f>G62</x:f>
        <x:v>60</x:v>
      </x:c>
      <x:c r="J62" s="25" t="str">
        <x:v>No canonica</x:v>
      </x:c>
      <x:c r="K62" s="25" t="str">
        <x:v>Referencia aportada</x:v>
      </x:c>
      <x:c r="L62" s="33" t="n">
        <x:v>46268.625</x:v>
      </x:c>
      <x:c r="M62" s="25" t="str">
        <x:v>Lista de Tokens - Meta EDU.xlsx</x:v>
      </x:c>
      <x:c r="N62" s="25" t="str">
        <x:v>Booster que recarga el limite de interacción de los orbes Bilboard y Maps</x:v>
      </x:c>
      <x:c r="O62" s="25" t="str">
        <x:v>Referencia MOG: 1 Dominion.</x:v>
      </x:c>
    </x:row>
    <x:row r="63" ht="32" customHeight="1">
      <x:c r="A63" s="25" t="n">
        <x:v>59</x:v>
      </x:c>
      <x:c r="B63" s="25" t="str">
        <x:v>Re-charger Config</x:v>
      </x:c>
      <x:c r="C63" s="25" t="str">
        <x:v>Orbe / interaccion</x:v>
      </x:c>
      <x:c r="D63" s="25" t="str">
        <x:v>TerritoryX / MOG</x:v>
      </x:c>
      <x:c r="E63" s="25" t="str">
        <x:v>No</x:v>
      </x:c>
      <x:c r="F63" s="25" t="str">
        <x:v>Referencia aportada</x:v>
      </x:c>
      <x:c r="G63" s="48" t="n">
        <x:v>60</x:v>
      </x:c>
      <x:c r="H63" s="25" t="str">
        <x:v>EUR</x:v>
      </x:c>
      <x:c r="I63" s="43" t="n">
        <x:f>G63</x:f>
        <x:v>60</x:v>
      </x:c>
      <x:c r="J63" s="25" t="str">
        <x:v>No canonica</x:v>
      </x:c>
      <x:c r="K63" s="25" t="str">
        <x:v>Referencia aportada</x:v>
      </x:c>
      <x:c r="L63" s="33" t="n">
        <x:v>46268.625</x:v>
      </x:c>
      <x:c r="M63" s="25" t="str">
        <x:v>Lista de Tokens - Meta EDU.xlsx</x:v>
      </x:c>
      <x:c r="N63" s="25" t="str">
        <x:v>Booster configurable para elegir que orbe recargar o no recargar de los Bilboard y Maps</x:v>
      </x:c>
      <x:c r="O63" s="25" t="str">
        <x:v>Referencia MOG: 1 Dominion.</x:v>
      </x:c>
    </x:row>
    <x:row r="64" ht="32" customHeight="1">
      <x:c r="A64" s="25" t="n">
        <x:v>60</x:v>
      </x:c>
      <x:c r="B64" s="25" t="str">
        <x:v>Hepta:booster</x:v>
      </x:c>
      <x:c r="C64" s="25" t="str">
        <x:v>Potenciador</x:v>
      </x:c>
      <x:c r="D64" s="25" t="str">
        <x:v>Olympia / H-MAP Industries</x:v>
      </x:c>
      <x:c r="E64" s="25" t="str">
        <x:v>No indicado</x:v>
      </x:c>
      <x:c r="F64" s="25" t="str">
        <x:v>Precio recomendado</x:v>
      </x:c>
      <x:c r="G64" s="48" t="n">
        <x:v>0.02</x:v>
      </x:c>
      <x:c r="H64" s="25" t="str">
        <x:v>REEX</x:v>
      </x:c>
      <x:c r="I64" s="43" t="n">
        <x:f>Catalogo_HMAP!K20</x:f>
        <x:v>0.5</x:v>
      </x:c>
      <x:c r="J64" s="25" t="str">
        <x:v>Vigente segun fuente</x:v>
      </x:c>
      <x:c r="K64" s="25" t="str">
        <x:v>Precio recomendado</x:v>
      </x:c>
      <x:c r="L64" s="33" t="n">
        <x:v>46268.625</x:v>
      </x:c>
      <x:c r="M64" s="25" t="str">
        <x:v>https://www.olympia-lab.com/es/industries/</x:v>
      </x:c>
      <x:c r="N64" s="25" t="str">
        <x:v>Aumenta la productividad de hepta:miner vecinos</x:v>
      </x:c>
      <x:c r="O64" s="25" t="str"/>
    </x:row>
    <x:row r="65" ht="32" customHeight="1">
      <x:c r="A65" s="25" t="n">
        <x:v>61</x:v>
      </x:c>
      <x:c r="B65" s="25" t="str">
        <x:v>BaitMaster</x:v>
      </x:c>
      <x:c r="C65" s="25" t="str">
        <x:v>Potenciador MOG</x:v>
      </x:c>
      <x:c r="D65" s="25" t="str">
        <x:v>Ecosistema LOI</x:v>
      </x:c>
      <x:c r="E65" s="25" t="str">
        <x:v>No</x:v>
      </x:c>
      <x:c r="F65" s="25" t="str">
        <x:v>Referencia aportada</x:v>
      </x:c>
      <x:c r="G65" s="48" t="n">
        <x:v>60</x:v>
      </x:c>
      <x:c r="H65" s="25" t="str">
        <x:v>EUR</x:v>
      </x:c>
      <x:c r="I65" s="43" t="n">
        <x:f>G65</x:f>
        <x:v>60</x:v>
      </x:c>
      <x:c r="J65" s="25" t="str">
        <x:v>No canonica</x:v>
      </x:c>
      <x:c r="K65" s="25" t="str">
        <x:v>Referencia aportada</x:v>
      </x:c>
      <x:c r="L65" s="33" t="n">
        <x:v>46268.625</x:v>
      </x:c>
      <x:c r="M65" s="25" t="str">
        <x:v>Lista de Tokens - Meta EDU.xlsx</x:v>
      </x:c>
      <x:c r="N65" s="25" t="str">
        <x:v>Booster para colocar objetos de interes para los jugadores </x:v>
      </x:c>
      <x:c r="O65" s="25" t="str">
        <x:v>Referencia MOG: 1 Dominion.</x:v>
      </x:c>
    </x:row>
    <x:row r="66" ht="32" customHeight="1">
      <x:c r="A66" s="25" t="n">
        <x:v>62</x:v>
      </x:c>
      <x:c r="B66" s="25" t="str">
        <x:v>BaitMaster Pro</x:v>
      </x:c>
      <x:c r="C66" s="25" t="str">
        <x:v>Potenciador MOG</x:v>
      </x:c>
      <x:c r="D66" s="25" t="str">
        <x:v>Ecosistema LOI</x:v>
      </x:c>
      <x:c r="E66" s="25" t="str">
        <x:v>No</x:v>
      </x:c>
      <x:c r="F66" s="25" t="str">
        <x:v>Referencia aportada</x:v>
      </x:c>
      <x:c r="G66" s="48" t="n">
        <x:v>120</x:v>
      </x:c>
      <x:c r="H66" s="25" t="str">
        <x:v>EUR</x:v>
      </x:c>
      <x:c r="I66" s="43" t="n">
        <x:f>G66</x:f>
        <x:v>120</x:v>
      </x:c>
      <x:c r="J66" s="25" t="str">
        <x:v>No canonica</x:v>
      </x:c>
      <x:c r="K66" s="25" t="str">
        <x:v>Referencia aportada</x:v>
      </x:c>
      <x:c r="L66" s="33" t="n">
        <x:v>46268.625</x:v>
      </x:c>
      <x:c r="M66" s="25" t="str">
        <x:v>Lista de Tokens - Meta EDU.xlsx</x:v>
      </x:c>
      <x:c r="N66" s="25" t="str">
        <x:v>Booster para colocar objetos de interes para los jugadores </x:v>
      </x:c>
      <x:c r="O66" s="25" t="str">
        <x:v>Referencia MOG: 2 Dominion.</x:v>
      </x:c>
    </x:row>
    <x:row r="67" ht="32" customHeight="1">
      <x:c r="A67" s="25" t="n">
        <x:v>63</x:v>
      </x:c>
      <x:c r="B67" s="25" t="str">
        <x:v>Connect plus 1Y</x:v>
      </x:c>
      <x:c r="C67" s="25" t="str">
        <x:v>Potenciador MOG</x:v>
      </x:c>
      <x:c r="D67" s="25" t="str">
        <x:v>Ecosistema LOI</x:v>
      </x:c>
      <x:c r="E67" s="25" t="str">
        <x:v>No</x:v>
      </x:c>
      <x:c r="F67" s="25" t="str">
        <x:v>Referencia aportada</x:v>
      </x:c>
      <x:c r="G67" s="48" t="n">
        <x:v>120</x:v>
      </x:c>
      <x:c r="H67" s="25" t="str">
        <x:v>EUR</x:v>
      </x:c>
      <x:c r="I67" s="43" t="n">
        <x:f>G67</x:f>
        <x:v>120</x:v>
      </x:c>
      <x:c r="J67" s="25" t="str">
        <x:v>No canonica</x:v>
      </x:c>
      <x:c r="K67" s="25" t="str">
        <x:v>Referencia aportada</x:v>
      </x:c>
      <x:c r="L67" s="33" t="n">
        <x:v>46268.625</x:v>
      </x:c>
      <x:c r="M67" s="25" t="str">
        <x:v>Lista de Tokens - Meta EDU.xlsx</x:v>
      </x:c>
      <x:c r="N67" s="25" t="str">
        <x:v>Booster que permite comunicarse con los jugadores por 1 año</x:v>
      </x:c>
      <x:c r="O67" s="25" t="str">
        <x:v>Referencia MOG: 2 Dominion.</x:v>
      </x:c>
    </x:row>
    <x:row r="68" ht="32" customHeight="1">
      <x:c r="A68" s="25" t="n">
        <x:v>64</x:v>
      </x:c>
      <x:c r="B68" s="25" t="str">
        <x:v>Connect plus 90D</x:v>
      </x:c>
      <x:c r="C68" s="25" t="str">
        <x:v>Potenciador MOG</x:v>
      </x:c>
      <x:c r="D68" s="25" t="str">
        <x:v>Ecosistema LOI</x:v>
      </x:c>
      <x:c r="E68" s="25" t="str">
        <x:v>No</x:v>
      </x:c>
      <x:c r="F68" s="25" t="str">
        <x:v>Referencia aportada</x:v>
      </x:c>
      <x:c r="G68" s="48" t="n">
        <x:v>60</x:v>
      </x:c>
      <x:c r="H68" s="25" t="str">
        <x:v>EUR</x:v>
      </x:c>
      <x:c r="I68" s="43" t="n">
        <x:f>G68</x:f>
        <x:v>60</x:v>
      </x:c>
      <x:c r="J68" s="25" t="str">
        <x:v>No canonica</x:v>
      </x:c>
      <x:c r="K68" s="25" t="str">
        <x:v>Referencia aportada</x:v>
      </x:c>
      <x:c r="L68" s="33" t="n">
        <x:v>46268.625</x:v>
      </x:c>
      <x:c r="M68" s="25" t="str">
        <x:v>Lista de Tokens - Meta EDU.xlsx</x:v>
      </x:c>
      <x:c r="N68" s="25" t="str">
        <x:v>Booster que permite comunicarse con los jugadorespo 90 dias</x:v>
      </x:c>
      <x:c r="O68" s="25" t="str">
        <x:v>Referencia MOG: 1 Dominion.</x:v>
      </x:c>
    </x:row>
    <x:row r="69" ht="32" customHeight="1">
      <x:c r="A69" s="25" t="n">
        <x:v>65</x:v>
      </x:c>
      <x:c r="B69" s="25" t="str">
        <x:v>Control hexatile 27x</x:v>
      </x:c>
      <x:c r="C69" s="25" t="str">
        <x:v>Potenciador MOG</x:v>
      </x:c>
      <x:c r="D69" s="25" t="str">
        <x:v>TerritoryX / MOG</x:v>
      </x:c>
      <x:c r="E69" s="25" t="str">
        <x:v>No</x:v>
      </x:c>
      <x:c r="F69" s="25" t="str">
        <x:v>Referencia aportada</x:v>
      </x:c>
      <x:c r="G69" s="48" t="n">
        <x:v>60</x:v>
      </x:c>
      <x:c r="H69" s="25" t="str">
        <x:v>EUR</x:v>
      </x:c>
      <x:c r="I69" s="43" t="n">
        <x:f>G69</x:f>
        <x:v>60</x:v>
      </x:c>
      <x:c r="J69" s="25" t="str">
        <x:v>No canonica</x:v>
      </x:c>
      <x:c r="K69" s="25" t="str">
        <x:v>Referencia aportada</x:v>
      </x:c>
      <x:c r="L69" s="33" t="n">
        <x:v>46268.625</x:v>
      </x:c>
      <x:c r="M69" s="25" t="str">
        <x:v>Lista de Tokens - Meta EDU.xlsx</x:v>
      </x:c>
      <x:c r="N69" s="25" t="str">
        <x:v>Booster que aumenta la cantidades de parcelas dentro del asesor a 3429 terrenos</x:v>
      </x:c>
      <x:c r="O69" s="25" t="str">
        <x:v>Referencia MOG: 1 Dominion.</x:v>
      </x:c>
    </x:row>
    <x:row r="70" ht="32" customHeight="1">
      <x:c r="A70" s="25" t="n">
        <x:v>66</x:v>
      </x:c>
      <x:c r="B70" s="25" t="str">
        <x:v>Control hexatile 3x</x:v>
      </x:c>
      <x:c r="C70" s="25" t="str">
        <x:v>Potenciador MOG</x:v>
      </x:c>
      <x:c r="D70" s="25" t="str">
        <x:v>TerritoryX / MOG</x:v>
      </x:c>
      <x:c r="E70" s="25" t="str">
        <x:v>No</x:v>
      </x:c>
      <x:c r="F70" s="25" t="str">
        <x:v>Referencia aportada</x:v>
      </x:c>
      <x:c r="G70" s="48" t="n">
        <x:v>12</x:v>
      </x:c>
      <x:c r="H70" s="25" t="str">
        <x:v>EUR</x:v>
      </x:c>
      <x:c r="I70" s="43" t="n">
        <x:f>G70</x:f>
        <x:v>12</x:v>
      </x:c>
      <x:c r="J70" s="25" t="str">
        <x:v>No canonica</x:v>
      </x:c>
      <x:c r="K70" s="25" t="str">
        <x:v>Referencia aportada</x:v>
      </x:c>
      <x:c r="L70" s="33" t="n">
        <x:v>46268.625</x:v>
      </x:c>
      <x:c r="M70" s="25" t="str">
        <x:v>Lista de Tokens - Meta EDU.xlsx</x:v>
      </x:c>
      <x:c r="N70" s="25" t="str">
        <x:v>Booste que aumenta la cantidades de parcelas dentro del asesor a 381 terrenos</x:v>
      </x:c>
      <x:c r="O70" s="25" t="str">
        <x:v>Referencia MOG: 0.2 Dominion.</x:v>
      </x:c>
    </x:row>
    <x:row r="71" ht="32" customHeight="1">
      <x:c r="A71" s="25" t="n">
        <x:v>67</x:v>
      </x:c>
      <x:c r="B71" s="25" t="str">
        <x:v>Control hexatile 9x</x:v>
      </x:c>
      <x:c r="C71" s="25" t="str">
        <x:v>Potenciador MOG</x:v>
      </x:c>
      <x:c r="D71" s="25" t="str">
        <x:v>TerritoryX / MOG</x:v>
      </x:c>
      <x:c r="E71" s="25" t="str">
        <x:v>No</x:v>
      </x:c>
      <x:c r="F71" s="25" t="str">
        <x:v>Referencia aportada</x:v>
      </x:c>
      <x:c r="G71" s="48" t="n">
        <x:v>30</x:v>
      </x:c>
      <x:c r="H71" s="25" t="str">
        <x:v>EUR</x:v>
      </x:c>
      <x:c r="I71" s="43" t="n">
        <x:f>G71</x:f>
        <x:v>30</x:v>
      </x:c>
      <x:c r="J71" s="25" t="str">
        <x:v>No canonica</x:v>
      </x:c>
      <x:c r="K71" s="25" t="str">
        <x:v>Referencia aportada</x:v>
      </x:c>
      <x:c r="L71" s="33" t="n">
        <x:v>46268.625</x:v>
      </x:c>
      <x:c r="M71" s="25" t="str">
        <x:v>Lista de Tokens - Meta EDU.xlsx</x:v>
      </x:c>
      <x:c r="N71" s="25" t="str">
        <x:v>Booster que aumenta la cantidades de parcelas dentro del asesor a 1143 terrenos</x:v>
      </x:c>
      <x:c r="O71" s="25" t="str">
        <x:v>Referencia MOG: 0.5 Dominion.</x:v>
      </x:c>
    </x:row>
    <x:row r="72" ht="32" customHeight="1">
      <x:c r="A72" s="25" t="n">
        <x:v>68</x:v>
      </x:c>
      <x:c r="B72" s="25" t="str">
        <x:v>Dominion</x:v>
      </x:c>
      <x:c r="C72" s="25" t="str">
        <x:v>Potenciador MOG</x:v>
      </x:c>
      <x:c r="D72" s="25" t="str">
        <x:v>TerritoryX / MOG</x:v>
      </x:c>
      <x:c r="E72" s="25" t="str">
        <x:v>Si</x:v>
      </x:c>
      <x:c r="F72" s="25" t="str">
        <x:v>Referencia en conflicto</x:v>
      </x:c>
      <x:c r="G72" s="48" t="n">
        <x:v>60</x:v>
      </x:c>
      <x:c r="H72" s="25" t="str">
        <x:v>EUR</x:v>
      </x:c>
      <x:c r="I72" s="43"/>
      <x:c r="J72" s="25" t="str">
        <x:v>No usar sin validar</x:v>
      </x:c>
      <x:c r="K72" s="25" t="str">
        <x:v>Referencia en conflicto</x:v>
      </x:c>
      <x:c r="L72" s="33" t="n">
        <x:v>46268.625</x:v>
      </x:c>
      <x:c r="M72" s="25" t="str">
        <x:v>Lista de Tokens - Meta EDU.xlsx</x:v>
      </x:c>
      <x:c r="N72" s="25" t="str">
        <x:v>Token para comprar suscripciones, booster y advisor dentro de Oficina MOG</x:v>
      </x:c>
      <x:c r="O72" s="25" t="str">
        <x:v>Hoja 1: EUR 60; hoja MOG: EUR 50. InteraSwap indica valor dinamico.</x:v>
      </x:c>
    </x:row>
    <x:row r="73" ht="32" customHeight="1">
      <x:c r="A73" s="25" t="n">
        <x:v>69</x:v>
      </x:c>
      <x:c r="B73" s="25" t="str">
        <x:v>Land Bider</x:v>
      </x:c>
      <x:c r="C73" s="25" t="str">
        <x:v>Potenciador MOG</x:v>
      </x:c>
      <x:c r="D73" s="25" t="str">
        <x:v>TerritoryX / MOG</x:v>
      </x:c>
      <x:c r="E73" s="25" t="str">
        <x:v>No</x:v>
      </x:c>
      <x:c r="F73" s="25" t="str">
        <x:v>Referencia aportada</x:v>
      </x:c>
      <x:c r="G73" s="48" t="n">
        <x:v>60</x:v>
      </x:c>
      <x:c r="H73" s="25" t="str">
        <x:v>EUR</x:v>
      </x:c>
      <x:c r="I73" s="43" t="n">
        <x:f>G73</x:f>
        <x:v>60</x:v>
      </x:c>
      <x:c r="J73" s="25" t="str">
        <x:v>No canonica</x:v>
      </x:c>
      <x:c r="K73" s="25" t="str">
        <x:v>Referencia aportada</x:v>
      </x:c>
      <x:c r="L73" s="33" t="n">
        <x:v>46268.625</x:v>
      </x:c>
      <x:c r="M73" s="25" t="str">
        <x:v>Lista de Tokens - Meta EDU.xlsx</x:v>
      </x:c>
      <x:c r="N73" s="25" t="str">
        <x:v>Booster para realizar una oferta para comprar varios terrenos a otro MOG</x:v>
      </x:c>
      <x:c r="O73" s="25" t="str">
        <x:v>Referencia MOG: 1 Dominion.</x:v>
      </x:c>
    </x:row>
    <x:row r="74" ht="32" customHeight="1">
      <x:c r="A74" s="25" t="n">
        <x:v>70</x:v>
      </x:c>
      <x:c r="B74" s="25" t="str">
        <x:v>Land Buyer</x:v>
      </x:c>
      <x:c r="C74" s="25" t="str">
        <x:v>Potenciador MOG</x:v>
      </x:c>
      <x:c r="D74" s="25" t="str">
        <x:v>TerritoryX / MOG</x:v>
      </x:c>
      <x:c r="E74" s="25" t="str">
        <x:v>No</x:v>
      </x:c>
      <x:c r="F74" s="25" t="str">
        <x:v>Referencia aportada</x:v>
      </x:c>
      <x:c r="G74" s="48" t="n">
        <x:v>60</x:v>
      </x:c>
      <x:c r="H74" s="25" t="str">
        <x:v>EUR</x:v>
      </x:c>
      <x:c r="I74" s="43" t="n">
        <x:f>G74</x:f>
        <x:v>60</x:v>
      </x:c>
      <x:c r="J74" s="25" t="str">
        <x:v>No canonica</x:v>
      </x:c>
      <x:c r="K74" s="25" t="str">
        <x:v>Referencia aportada</x:v>
      </x:c>
      <x:c r="L74" s="33" t="n">
        <x:v>46268.625</x:v>
      </x:c>
      <x:c r="M74" s="25" t="str">
        <x:v>Lista de Tokens - Meta EDU.xlsx</x:v>
      </x:c>
      <x:c r="N74" s="25" t="str">
        <x:v>Booster para comprar terrenos de forma automatica a otros MOG</x:v>
      </x:c>
      <x:c r="O74" s="25" t="str">
        <x:v>Referencia MOG: 1 Dominion.</x:v>
      </x:c>
    </x:row>
    <x:row r="75" ht="32" customHeight="1">
      <x:c r="A75" s="25" t="n">
        <x:v>71</x:v>
      </x:c>
      <x:c r="B75" s="25" t="str">
        <x:v>Land Seller</x:v>
      </x:c>
      <x:c r="C75" s="25" t="str">
        <x:v>Potenciador MOG</x:v>
      </x:c>
      <x:c r="D75" s="25" t="str">
        <x:v>Ecosistema LOI</x:v>
      </x:c>
      <x:c r="E75" s="25" t="str">
        <x:v>No</x:v>
      </x:c>
      <x:c r="F75" s="25" t="str">
        <x:v>Referencia aportada</x:v>
      </x:c>
      <x:c r="G75" s="48" t="n">
        <x:v>60</x:v>
      </x:c>
      <x:c r="H75" s="25" t="str">
        <x:v>EUR</x:v>
      </x:c>
      <x:c r="I75" s="43" t="n">
        <x:f>G75</x:f>
        <x:v>60</x:v>
      </x:c>
      <x:c r="J75" s="25" t="str">
        <x:v>No canonica</x:v>
      </x:c>
      <x:c r="K75" s="25" t="str">
        <x:v>Referencia aportada</x:v>
      </x:c>
      <x:c r="L75" s="33" t="n">
        <x:v>46268.625</x:v>
      </x:c>
      <x:c r="M75" s="25" t="str">
        <x:v>Lista de Tokens - Meta EDU.xlsx</x:v>
      </x:c>
      <x:c r="N75" s="25" t="str">
        <x:v>Booster para poner a la venta todos los terrenos dentro del advisor </x:v>
      </x:c>
      <x:c r="O75" s="25" t="str">
        <x:v>Referencia MOG: 1 Dominion.</x:v>
      </x:c>
    </x:row>
    <x:row r="76" ht="32" customHeight="1">
      <x:c r="A76" s="25" t="n">
        <x:v>72</x:v>
      </x:c>
      <x:c r="B76" s="25" t="str">
        <x:v>Researcher 30D</x:v>
      </x:c>
      <x:c r="C76" s="25" t="str">
        <x:v>Potenciador MOG</x:v>
      </x:c>
      <x:c r="D76" s="25" t="str">
        <x:v>Ecosistema LOI</x:v>
      </x:c>
      <x:c r="E76" s="25" t="str">
        <x:v>No</x:v>
      </x:c>
      <x:c r="F76" s="25" t="str">
        <x:v>Referencia aportada</x:v>
      </x:c>
      <x:c r="G76" s="48" t="n">
        <x:v>60</x:v>
      </x:c>
      <x:c r="H76" s="25" t="str">
        <x:v>EUR</x:v>
      </x:c>
      <x:c r="I76" s="43" t="n">
        <x:f>G76</x:f>
        <x:v>60</x:v>
      </x:c>
      <x:c r="J76" s="25" t="str">
        <x:v>No canonica</x:v>
      </x:c>
      <x:c r="K76" s="25" t="str">
        <x:v>Referencia aportada</x:v>
      </x:c>
      <x:c r="L76" s="33" t="n">
        <x:v>46268.625</x:v>
      </x:c>
      <x:c r="M76" s="25" t="str">
        <x:v>Lista de Tokens - Meta EDU.xlsx</x:v>
      </x:c>
      <x:c r="N76" s="25" t="str">
        <x:v>Booster que da seguimiento por 30 dias a los recursos dentro de sus parcelas</x:v>
      </x:c>
      <x:c r="O76" s="25" t="str">
        <x:v>Referencia MOG: 1 Dominion.</x:v>
      </x:c>
    </x:row>
    <x:row r="77" ht="32" customHeight="1">
      <x:c r="A77" s="25" t="n">
        <x:v>73</x:v>
      </x:c>
      <x:c r="B77" s="25" t="str">
        <x:v>Researcher 90D</x:v>
      </x:c>
      <x:c r="C77" s="25" t="str">
        <x:v>Potenciador MOG</x:v>
      </x:c>
      <x:c r="D77" s="25" t="str">
        <x:v>Ecosistema LOI</x:v>
      </x:c>
      <x:c r="E77" s="25" t="str">
        <x:v>No</x:v>
      </x:c>
      <x:c r="F77" s="25" t="str">
        <x:v>Referencia aportada</x:v>
      </x:c>
      <x:c r="G77" s="48" t="n">
        <x:v>120</x:v>
      </x:c>
      <x:c r="H77" s="25" t="str">
        <x:v>EUR</x:v>
      </x:c>
      <x:c r="I77" s="43" t="n">
        <x:f>G77</x:f>
        <x:v>120</x:v>
      </x:c>
      <x:c r="J77" s="25" t="str">
        <x:v>No canonica</x:v>
      </x:c>
      <x:c r="K77" s="25" t="str">
        <x:v>Referencia aportada</x:v>
      </x:c>
      <x:c r="L77" s="33" t="n">
        <x:v>46268.625</x:v>
      </x:c>
      <x:c r="M77" s="25" t="str">
        <x:v>Lista de Tokens - Meta EDU.xlsx</x:v>
      </x:c>
      <x:c r="N77" s="25" t="str">
        <x:v>Booster que da seguimiento por 90 dias a los recursos dentro de sus parcelas</x:v>
      </x:c>
      <x:c r="O77" s="25" t="str">
        <x:v>Referencia MOG: 2 Dominion.</x:v>
      </x:c>
    </x:row>
    <x:row r="78" ht="32" customHeight="1">
      <x:c r="A78" s="25" t="n">
        <x:v>74</x:v>
      </x:c>
      <x:c r="B78" s="25" t="str">
        <x:v>Shard Setter 30D</x:v>
      </x:c>
      <x:c r="C78" s="25" t="str">
        <x:v>Potenciador MOG</x:v>
      </x:c>
      <x:c r="D78" s="25" t="str">
        <x:v>Ecosistema LOI</x:v>
      </x:c>
      <x:c r="E78" s="25" t="str">
        <x:v>No</x:v>
      </x:c>
      <x:c r="F78" s="25" t="str">
        <x:v>Referencia aportada</x:v>
      </x:c>
      <x:c r="G78" s="48" t="n">
        <x:v>60</x:v>
      </x:c>
      <x:c r="H78" s="25" t="str">
        <x:v>EUR</x:v>
      </x:c>
      <x:c r="I78" s="43" t="n">
        <x:f>G78</x:f>
        <x:v>60</x:v>
      </x:c>
      <x:c r="J78" s="25" t="str">
        <x:v>No canonica</x:v>
      </x:c>
      <x:c r="K78" s="25" t="str">
        <x:v>Referencia aportada</x:v>
      </x:c>
      <x:c r="L78" s="33" t="n">
        <x:v>46268.625</x:v>
      </x:c>
      <x:c r="M78" s="25" t="str">
        <x:v>Lista de Tokens - Meta EDU.xlsx</x:v>
      </x:c>
      <x:c r="N78" s="25" t="str">
        <x:v>Booster para colocar elementos especiales (shard) para atraer jugadores por 30 días</x:v>
      </x:c>
      <x:c r="O78" s="25" t="str">
        <x:v>Referencia MOG: 1 Dominion.</x:v>
      </x:c>
    </x:row>
    <x:row r="79" ht="32" customHeight="1">
      <x:c r="A79" s="25" t="n">
        <x:v>75</x:v>
      </x:c>
      <x:c r="B79" s="25" t="str">
        <x:v>Shard Setter 90D</x:v>
      </x:c>
      <x:c r="C79" s="25" t="str">
        <x:v>Potenciador MOG</x:v>
      </x:c>
      <x:c r="D79" s="25" t="str">
        <x:v>Ecosistema LOI</x:v>
      </x:c>
      <x:c r="E79" s="25" t="str">
        <x:v>No</x:v>
      </x:c>
      <x:c r="F79" s="25" t="str">
        <x:v>Referencia aportada</x:v>
      </x:c>
      <x:c r="G79" s="48" t="n">
        <x:v>210</x:v>
      </x:c>
      <x:c r="H79" s="25" t="str">
        <x:v>EUR</x:v>
      </x:c>
      <x:c r="I79" s="43" t="n">
        <x:f>G79</x:f>
        <x:v>210</x:v>
      </x:c>
      <x:c r="J79" s="25" t="str">
        <x:v>No canonica</x:v>
      </x:c>
      <x:c r="K79" s="25" t="str">
        <x:v>Referencia aportada</x:v>
      </x:c>
      <x:c r="L79" s="33" t="n">
        <x:v>46268.625</x:v>
      </x:c>
      <x:c r="M79" s="25" t="str">
        <x:v>Lista de Tokens - Meta EDU.xlsx</x:v>
      </x:c>
      <x:c r="N79" s="25" t="str">
        <x:v>Booster para colocar elementos especiales (shard) para atraer jugadores por 90 días</x:v>
      </x:c>
      <x:c r="O79" s="25" t="str">
        <x:v>Referencia MOG: 3 Dominion.</x:v>
      </x:c>
    </x:row>
    <x:row r="80" ht="32" customHeight="1">
      <x:c r="A80" s="25" t="n">
        <x:v>76</x:v>
      </x:c>
      <x:c r="B80" s="25" t="str">
        <x:v>Smart Balancer</x:v>
      </x:c>
      <x:c r="C80" s="25" t="str">
        <x:v>Potenciador MOG</x:v>
      </x:c>
      <x:c r="D80" s="25" t="str">
        <x:v>Ecosistema LOI</x:v>
      </x:c>
      <x:c r="E80" s="25" t="str">
        <x:v>No</x:v>
      </x:c>
      <x:c r="F80" s="25" t="str">
        <x:v>Referencia aportada</x:v>
      </x:c>
      <x:c r="G80" s="48" t="n">
        <x:v>60</x:v>
      </x:c>
      <x:c r="H80" s="25" t="str">
        <x:v>EUR</x:v>
      </x:c>
      <x:c r="I80" s="43" t="n">
        <x:f>G80</x:f>
        <x:v>60</x:v>
      </x:c>
      <x:c r="J80" s="25" t="str">
        <x:v>No canonica</x:v>
      </x:c>
      <x:c r="K80" s="25" t="str">
        <x:v>Referencia aportada</x:v>
      </x:c>
      <x:c r="L80" s="33" t="n">
        <x:v>46268.625</x:v>
      </x:c>
      <x:c r="M80" s="25" t="str">
        <x:v>Lista de Tokens - Meta EDU.xlsx</x:v>
      </x:c>
      <x:c r="N80" s="25" t="str">
        <x:v>Booster que distribuye de forma uniforme  los recursos en los terrenos</x:v>
      </x:c>
      <x:c r="O80" s="25" t="str">
        <x:v>Referencia MOG: 1 Dominion.</x:v>
      </x:c>
    </x:row>
    <x:row r="81" ht="32" customHeight="1">
      <x:c r="A81" s="25" t="n">
        <x:v>77</x:v>
      </x:c>
      <x:c r="B81" s="25" t="str">
        <x:v>Blue Time Compression 2X</x:v>
      </x:c>
      <x:c r="C81" s="25" t="str">
        <x:v>Potenciador temporal</x:v>
      </x:c>
      <x:c r="D81" s="25" t="str">
        <x:v>Olympia / H-MAP Industries</x:v>
      </x:c>
      <x:c r="E81" s="25" t="str">
        <x:v>No indicado</x:v>
      </x:c>
      <x:c r="F81" s="25" t="str">
        <x:v>Precio recomendado</x:v>
      </x:c>
      <x:c r="G81" s="48" t="n">
        <x:v>6</x:v>
      </x:c>
      <x:c r="H81" s="25" t="str">
        <x:v>REEX</x:v>
      </x:c>
      <x:c r="I81" s="43" t="n">
        <x:f>Catalogo_HMAP!K33</x:f>
        <x:v>150</x:v>
      </x:c>
      <x:c r="J81" s="25" t="str">
        <x:v>Vigente segun fuente</x:v>
      </x:c>
      <x:c r="K81" s="25" t="str">
        <x:v>Precio recomendado</x:v>
      </x:c>
      <x:c r="L81" s="33" t="n">
        <x:v>46268.625</x:v>
      </x:c>
      <x:c r="M81" s="25" t="str">
        <x:v>https://www.olympia-lab.com/es/industries/</x:v>
      </x:c>
      <x:c r="N81" s="25" t="str">
        <x:v>Reduce recarga de orbes azules</x:v>
      </x:c>
      <x:c r="O81" s="25" t="str"/>
    </x:row>
    <x:row r="82" ht="32" customHeight="1">
      <x:c r="A82" s="25" t="n">
        <x:v>78</x:v>
      </x:c>
      <x:c r="B82" s="25" t="str">
        <x:v>Green Time Compression 2X</x:v>
      </x:c>
      <x:c r="C82" s="25" t="str">
        <x:v>Potenciador temporal</x:v>
      </x:c>
      <x:c r="D82" s="25" t="str">
        <x:v>Olympia / H-MAP Industries</x:v>
      </x:c>
      <x:c r="E82" s="25" t="str">
        <x:v>No indicado</x:v>
      </x:c>
      <x:c r="F82" s="25" t="str">
        <x:v>Precio recomendado</x:v>
      </x:c>
      <x:c r="G82" s="48" t="n">
        <x:v>12</x:v>
      </x:c>
      <x:c r="H82" s="25" t="str">
        <x:v>REEX</x:v>
      </x:c>
      <x:c r="I82" s="43" t="n">
        <x:f>Catalogo_HMAP!K34</x:f>
        <x:v>300</x:v>
      </x:c>
      <x:c r="J82" s="25" t="str">
        <x:v>Vigente segun fuente</x:v>
      </x:c>
      <x:c r="K82" s="25" t="str">
        <x:v>Precio recomendado</x:v>
      </x:c>
      <x:c r="L82" s="33" t="n">
        <x:v>46268.625</x:v>
      </x:c>
      <x:c r="M82" s="25" t="str">
        <x:v>https://www.olympia-lab.com/es/industries/</x:v>
      </x:c>
      <x:c r="N82" s="25" t="str">
        <x:v>Reduce recarga de orbes verdes</x:v>
      </x:c>
      <x:c r="O82" s="25" t="str"/>
    </x:row>
    <x:row r="83" ht="32" customHeight="1">
      <x:c r="A83" s="25" t="n">
        <x:v>79</x:v>
      </x:c>
      <x:c r="B83" s="25" t="str">
        <x:v>Red Time Compression 2X</x:v>
      </x:c>
      <x:c r="C83" s="25" t="str">
        <x:v>Potenciador temporal</x:v>
      </x:c>
      <x:c r="D83" s="25" t="str">
        <x:v>Olympia / H-MAP Industries</x:v>
      </x:c>
      <x:c r="E83" s="25" t="str">
        <x:v>No indicado</x:v>
      </x:c>
      <x:c r="F83" s="25" t="str">
        <x:v>Precio recomendado</x:v>
      </x:c>
      <x:c r="G83" s="48" t="n">
        <x:v>24</x:v>
      </x:c>
      <x:c r="H83" s="25" t="str">
        <x:v>REEX</x:v>
      </x:c>
      <x:c r="I83" s="43" t="n">
        <x:f>Catalogo_HMAP!K35</x:f>
        <x:v>600</x:v>
      </x:c>
      <x:c r="J83" s="25" t="str">
        <x:v>Vigente segun fuente</x:v>
      </x:c>
      <x:c r="K83" s="25" t="str">
        <x:v>Precio recomendado</x:v>
      </x:c>
      <x:c r="L83" s="33" t="n">
        <x:v>46268.625</x:v>
      </x:c>
      <x:c r="M83" s="25" t="str">
        <x:v>https://www.olympia-lab.com/es/industries/</x:v>
      </x:c>
      <x:c r="N83" s="25" t="str">
        <x:v>Reduce recarga de orbes rojos</x:v>
      </x:c>
      <x:c r="O83" s="25" t="str"/>
    </x:row>
    <x:row r="84" ht="32" customHeight="1">
      <x:c r="A84" s="25" t="n">
        <x:v>80</x:v>
      </x:c>
      <x:c r="B84" s="25" t="str">
        <x:v>Generador de pintura para terrenos</x:v>
      </x:c>
      <x:c r="C84" s="25" t="str">
        <x:v>Produccion</x:v>
      </x:c>
      <x:c r="D84" s="25" t="str">
        <x:v>Olympia / H-MAP Industries</x:v>
      </x:c>
      <x:c r="E84" s="25" t="str">
        <x:v>No indicado</x:v>
      </x:c>
      <x:c r="F84" s="25" t="str">
        <x:v>Precio recomendado</x:v>
      </x:c>
      <x:c r="G84" s="48" t="n">
        <x:v>3</x:v>
      </x:c>
      <x:c r="H84" s="25" t="str">
        <x:v>REEX</x:v>
      </x:c>
      <x:c r="I84" s="43" t="n">
        <x:f>Catalogo_HMAP!K29</x:f>
        <x:v>75</x:v>
      </x:c>
      <x:c r="J84" s="25" t="str">
        <x:v>Vigente segun fuente</x:v>
      </x:c>
      <x:c r="K84" s="25" t="str">
        <x:v>Precio recomendado</x:v>
      </x:c>
      <x:c r="L84" s="33" t="n">
        <x:v>46268.625</x:v>
      </x:c>
      <x:c r="M84" s="25" t="str">
        <x:v>https://www.olympia-lab.com/es/industries/</x:v>
      </x:c>
      <x:c r="N84" s="25" t="str">
        <x:v>Produce pinturas para hexagonos</x:v>
      </x:c>
      <x:c r="O84" s="25" t="str"/>
    </x:row>
    <x:row r="85" ht="32" customHeight="1">
      <x:c r="A85" s="25" t="n">
        <x:v>81</x:v>
      </x:c>
      <x:c r="B85" s="25" t="str">
        <x:v>Fan Stele</x:v>
      </x:c>
      <x:c r="C85" s="25" t="str">
        <x:v>Publicidad</x:v>
      </x:c>
      <x:c r="D85" s="25" t="str">
        <x:v>Olympia / H-MAP Industries</x:v>
      </x:c>
      <x:c r="E85" s="25" t="str">
        <x:v>No indicado</x:v>
      </x:c>
      <x:c r="F85" s="25" t="str">
        <x:v>Precio recomendado</x:v>
      </x:c>
      <x:c r="G85" s="48" t="n">
        <x:v>1.2</x:v>
      </x:c>
      <x:c r="H85" s="25" t="str">
        <x:v>REEX</x:v>
      </x:c>
      <x:c r="I85" s="43" t="n">
        <x:f>Catalogo_HMAP!K25</x:f>
        <x:v>30</x:v>
      </x:c>
      <x:c r="J85" s="25" t="str">
        <x:v>Vigente segun fuente</x:v>
      </x:c>
      <x:c r="K85" s="25" t="str">
        <x:v>Precio recomendado</x:v>
      </x:c>
      <x:c r="L85" s="33" t="n">
        <x:v>46268.625</x:v>
      </x:c>
      <x:c r="M85" s="25" t="str">
        <x:v>https://www.olympia-lab.com/es/industries/</x:v>
      </x:c>
      <x:c r="N85" s="25" t="str">
        <x:v>Muestra imagenes y recoge opinion de jugadores</x:v>
      </x:c>
      <x:c r="O85" s="25" t="str"/>
    </x:row>
    <x:row r="86" ht="32" customHeight="1">
      <x:c r="A86" s="25" t="n">
        <x:v>82</x:v>
      </x:c>
      <x:c r="B86" s="25" t="str">
        <x:v>Escultura</x:v>
      </x:c>
      <x:c r="C86" s="25" t="str">
        <x:v>Publicidad 3D</x:v>
      </x:c>
      <x:c r="D86" s="25" t="str">
        <x:v>Olympia / H-MAP Industries</x:v>
      </x:c>
      <x:c r="E86" s="25" t="str">
        <x:v>No indicado</x:v>
      </x:c>
      <x:c r="F86" s="25" t="str">
        <x:v>Precio recomendado</x:v>
      </x:c>
      <x:c r="G86" s="48" t="n">
        <x:v>1.2</x:v>
      </x:c>
      <x:c r="H86" s="25" t="str">
        <x:v>REEX</x:v>
      </x:c>
      <x:c r="I86" s="43" t="n">
        <x:f>Catalogo_HMAP!K27</x:f>
        <x:v>30</x:v>
      </x:c>
      <x:c r="J86" s="25" t="str">
        <x:v>Vigente segun fuente</x:v>
      </x:c>
      <x:c r="K86" s="25" t="str">
        <x:v>Precio recomendado</x:v>
      </x:c>
      <x:c r="L86" s="33" t="n">
        <x:v>46268.625</x:v>
      </x:c>
      <x:c r="M86" s="25" t="str">
        <x:v>https://www.olympia-lab.com/es/industries/</x:v>
      </x:c>
      <x:c r="N86" s="25" t="str">
        <x:v>Representa modelos y dirige flujos</x:v>
      </x:c>
      <x:c r="O86" s="25" t="str"/>
    </x:row>
    <x:row r="87" ht="32" customHeight="1">
      <x:c r="A87" s="25" t="n">
        <x:v>83</x:v>
      </x:c>
      <x:c r="B87" s="25" t="str">
        <x:v>Hexa</x:v>
      </x:c>
      <x:c r="C87" s="25" t="str">
        <x:v>Territorio / NFT</x:v>
      </x:c>
      <x:c r="D87" s="25" t="str">
        <x:v>Ecosistema LOI</x:v>
      </x:c>
      <x:c r="E87" s="25" t="str">
        <x:v>Si</x:v>
      </x:c>
      <x:c r="F87" s="25" t="str">
        <x:v>Referencia aportada</x:v>
      </x:c>
      <x:c r="G87" s="48" t="n">
        <x:v>2.5</x:v>
      </x:c>
      <x:c r="H87" s="25" t="str">
        <x:v>EUR</x:v>
      </x:c>
      <x:c r="I87" s="43" t="n">
        <x:f>G87</x:f>
        <x:v>2.5</x:v>
      </x:c>
      <x:c r="J87" s="25" t="str">
        <x:v>No canonica</x:v>
      </x:c>
      <x:c r="K87" s="25" t="str">
        <x:v>Referencia aportada</x:v>
      </x:c>
      <x:c r="L87" s="33" t="n">
        <x:v>46268.625</x:v>
      </x:c>
      <x:c r="M87" s="25" t="str">
        <x:v>Lista de Tokens - Meta EDU.xlsx</x:v>
      </x:c>
      <x:c r="N87" s="25" t="str">
        <x:v>Token destinado a la compra de parcelas del juego</x:v>
      </x:c>
      <x:c r="O87" s="25" t="str"/>
    </x:row>
    <x:row r="88" ht="32" customHeight="1">
      <x:c r="A88" s="25" t="n">
        <x:v>84</x:v>
      </x:c>
      <x:c r="B88" s="25" t="str">
        <x:v>Hexatile</x:v>
      </x:c>
      <x:c r="C88" s="25" t="str">
        <x:v>Territorio / NFT</x:v>
      </x:c>
      <x:c r="D88" s="25" t="str">
        <x:v>TerritoryX / MOG</x:v>
      </x:c>
      <x:c r="E88" s="25" t="str">
        <x:v>Si</x:v>
      </x:c>
      <x:c r="F88" s="25" t="str">
        <x:v>Calculado desde referencia</x:v>
      </x:c>
      <x:c r="G88" s="48" t="n">
        <x:v>275</x:v>
      </x:c>
      <x:c r="H88" s="25" t="str">
        <x:v>HEXAS</x:v>
      </x:c>
      <x:c r="I88" s="43" t="n">
        <x:f>G88*Equivalencias!$B$7</x:f>
        <x:v>687.5</x:v>
      </x:c>
      <x:c r="J88" s="25" t="str">
        <x:v>Revisar</x:v>
      </x:c>
      <x:c r="K88" s="25" t="str">
        <x:v>Calculado desde referencia</x:v>
      </x:c>
      <x:c r="L88" s="33" t="n">
        <x:v>46268.625</x:v>
      </x:c>
      <x:c r="M88" s="25" t="str">
        <x:v>Lista de Tokens - Meta EDU.xlsx</x:v>
      </x:c>
      <x:c r="N88" s="25" t="str">
        <x:v>Token para representar una parcela de juego</x:v>
      </x:c>
      <x:c r="O88" s="25" t="str">
        <x:v>Hoja MOG: 2.75 hexas; hoja principal sin valor. Conversion basada en HEXA referencial, no canonica.</x:v>
      </x:c>
    </x:row>
    <x:row r="89" ht="32" customHeight="1">
      <x:c r="A89" s="25" t="n">
        <x:v>85</x:v>
      </x:c>
      <x:c r="B89" s="25" t="str">
        <x:v>Loyalty</x:v>
      </x:c>
      <x:c r="C89" s="25" t="str">
        <x:v>Territorio / NFT</x:v>
      </x:c>
      <x:c r="D89" s="25" t="str">
        <x:v>TerritoryX / MOG</x:v>
      </x:c>
      <x:c r="E89" s="25" t="str">
        <x:v>No</x:v>
      </x:c>
      <x:c r="F89" s="25" t="str">
        <x:v>Sin referencia</x:v>
      </x:c>
      <x:c r="G89" s="48"/>
      <x:c r="H89" s="25" t="str"/>
      <x:c r="I89" s="43"/>
      <x:c r="J89" s="25" t="str">
        <x:v>Pendiente</x:v>
      </x:c>
      <x:c r="K89" s="25" t="str">
        <x:v>Sin referencia</x:v>
      </x:c>
      <x:c r="L89" s="33" t="n">
        <x:v>46268.625</x:v>
      </x:c>
      <x:c r="M89" s="25" t="str">
        <x:v>Lista de Tokens - Meta EDU.xlsx</x:v>
      </x:c>
      <x:c r="N89" s="25" t="str">
        <x:v>Token para alquilar hexatiles (parcelas)</x:v>
      </x:c>
      <x:c r="O89" s="25" t="str"/>
    </x:row>
    <x:row r="90" ht="32" customHeight="1">
      <x:c r="A90" s="25" t="n">
        <x:v>86</x:v>
      </x:c>
      <x:c r="B90" s="25" t="str">
        <x:v>Reex Miner</x:v>
      </x:c>
      <x:c r="C90" s="25" t="str">
        <x:v>Territorio / NFT</x:v>
      </x:c>
      <x:c r="D90" s="25" t="str">
        <x:v>Ecosistema LOI</x:v>
      </x:c>
      <x:c r="E90" s="25" t="str">
        <x:v>Si</x:v>
      </x:c>
      <x:c r="F90" s="25" t="str">
        <x:v>Sin referencia</x:v>
      </x:c>
      <x:c r="G90" s="48"/>
      <x:c r="H90" s="25" t="str"/>
      <x:c r="I90" s="43"/>
      <x:c r="J90" s="25" t="str">
        <x:v>Revisar</x:v>
      </x:c>
      <x:c r="K90" s="25" t="str">
        <x:v>Sin referencia</x:v>
      </x:c>
      <x:c r="L90" s="33" t="n">
        <x:v>46268.625</x:v>
      </x:c>
      <x:c r="M90" s="25" t="str">
        <x:v>Lista de Tokens - Meta EDU.xlsx</x:v>
      </x:c>
      <x:c r="N90" s="25" t="str">
        <x:v>Token para minar REEX dentro de las parcelas del juego</x:v>
      </x:c>
      <x:c r="O90" s="25" t="str">
        <x:v>se activa con 1 gico para ser transferible e utilizable pero genera hasta 3 reex asi que su valor de venta tienen que ser por debajo de 3 reex</x:v>
      </x:c>
    </x:row>
    <x:row r="91" ht="32" customHeight="1">
      <x:c r="A91" s="25" t="n">
        <x:v>87</x:v>
      </x:c>
      <x:c r="B91" s="25" t="str">
        <x:v>Blue Orbs Fusion</x:v>
      </x:c>
      <x:c r="C91" s="25" t="str">
        <x:v>Transformacion</x:v>
      </x:c>
      <x:c r="D91" s="25" t="str">
        <x:v>Olympia / H-MAP Industries</x:v>
      </x:c>
      <x:c r="E91" s="25" t="str">
        <x:v>No indicado</x:v>
      </x:c>
      <x:c r="F91" s="25" t="str">
        <x:v>Precio recomendado</x:v>
      </x:c>
      <x:c r="G91" s="48" t="n">
        <x:v>3</x:v>
      </x:c>
      <x:c r="H91" s="25" t="str">
        <x:v>REEX</x:v>
      </x:c>
      <x:c r="I91" s="43" t="n">
        <x:f>Catalogo_HMAP!K26</x:f>
        <x:v>75</x:v>
      </x:c>
      <x:c r="J91" s="25" t="str">
        <x:v>Vigente segun fuente</x:v>
      </x:c>
      <x:c r="K91" s="25" t="str">
        <x:v>Precio recomendado</x:v>
      </x:c>
      <x:c r="L91" s="33" t="n">
        <x:v>46268.625</x:v>
      </x:c>
      <x:c r="M91" s="25" t="str">
        <x:v>https://www.olympia-lab.com/es/industries/</x:v>
      </x:c>
      <x:c r="N91" s="25" t="str">
        <x:v>Fusiona orbes azules</x:v>
      </x:c>
      <x:c r="O91" s="25" t="str"/>
    </x:row>
    <x:row r="92" ht="32" customHeight="1">
      <x:c r="A92" s="25" t="n">
        <x:v>88</x:v>
      </x:c>
      <x:c r="B92" s="25" t="str">
        <x:v>Green Orbs Fusion</x:v>
      </x:c>
      <x:c r="C92" s="25" t="str">
        <x:v>Transformacion</x:v>
      </x:c>
      <x:c r="D92" s="25" t="str">
        <x:v>Olympia / H-MAP Industries</x:v>
      </x:c>
      <x:c r="E92" s="25" t="str">
        <x:v>No indicado</x:v>
      </x:c>
      <x:c r="F92" s="25" t="str">
        <x:v>Precio recomendado</x:v>
      </x:c>
      <x:c r="G92" s="48" t="n">
        <x:v>6</x:v>
      </x:c>
      <x:c r="H92" s="25" t="str">
        <x:v>REEX</x:v>
      </x:c>
      <x:c r="I92" s="43" t="n">
        <x:f>Catalogo_HMAP!K31</x:f>
        <x:v>150</x:v>
      </x:c>
      <x:c r="J92" s="25" t="str">
        <x:v>Vigente segun fuente</x:v>
      </x:c>
      <x:c r="K92" s="25" t="str">
        <x:v>Precio recomendado</x:v>
      </x:c>
      <x:c r="L92" s="33" t="n">
        <x:v>46268.625</x:v>
      </x:c>
      <x:c r="M92" s="25" t="str">
        <x:v>https://www.olympia-lab.com/es/industries/</x:v>
      </x:c>
      <x:c r="N92" s="25" t="str">
        <x:v>Fusiona orbes verdes</x:v>
      </x:c>
      <x:c r="O92" s="25" t="str"/>
    </x:row>
    <x:row r="93" ht="32" customHeight="1">
      <x:c r="A93" s="26" t="n">
        <x:v>89</x:v>
      </x:c>
      <x:c r="B93" s="26" t="str">
        <x:v>Red Orbs Fusion</x:v>
      </x:c>
      <x:c r="C93" s="26" t="str">
        <x:v>Transformacion</x:v>
      </x:c>
      <x:c r="D93" s="26" t="str">
        <x:v>Olympia / H-MAP Industries</x:v>
      </x:c>
      <x:c r="E93" s="26" t="str">
        <x:v>No indicado</x:v>
      </x:c>
      <x:c r="F93" s="26" t="str">
        <x:v>Precio recomendado</x:v>
      </x:c>
      <x:c r="G93" s="49" t="n">
        <x:v>12</x:v>
      </x:c>
      <x:c r="H93" s="26" t="str">
        <x:v>REEX</x:v>
      </x:c>
      <x:c r="I93" s="45" t="n">
        <x:f>Catalogo_HMAP!K32</x:f>
        <x:v>300</x:v>
      </x:c>
      <x:c r="J93" s="26" t="str">
        <x:v>Vigente segun fuente</x:v>
      </x:c>
      <x:c r="K93" s="26" t="str">
        <x:v>Precio recomendado</x:v>
      </x:c>
      <x:c r="L93" s="34" t="n">
        <x:v>46268.625</x:v>
      </x:c>
      <x:c r="M93" s="26" t="str">
        <x:v>https://www.olympia-lab.com/es/industries/</x:v>
      </x:c>
      <x:c r="N93" s="26" t="str">
        <x:v>Fusiona orbes rojos</x:v>
      </x:c>
      <x:c r="O93" s="26" t="str"/>
    </x:row>
  </x:sheetData>
  <x:mergeCells>
    <x:mergeCell ref="A1:O1"/>
    <x:mergeCell ref="A2:O2"/>
  </x:mergeCells>
  <x:conditionalFormatting sqref="J5:J93">
    <x:cfRule type="containsText" dxfId="0" priority="1" operator="containsText" text="Revisar"/>
    <x:cfRule type="containsText" dxfId="1" priority="2" operator="containsText" text="No usar"/>
    <x:cfRule type="containsText" dxfId="2" priority="3" operator="containsText" text="Vigente"/>
  </x:conditionalFormatting>
  <x:pageMargins left="0.7" right="0.7" top="0.75" bottom="0.75" header="0.3" footer="0.3"/>
  <x:tableParts count="1">
    <x:tablePart xmlns:r="http://schemas.openxmlformats.org/officeDocument/2006/relationships" r:id="Rdd95091acf4e4f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2.25" hidden="0" customWidth="1"/>
    <x:col min="2" max="2" width="34" hidden="0" customWidth="1"/>
    <x:col min="3" max="3" width="72.25" hidden="0" customWidth="1"/>
    <x:col min="4" max="4" width="72.25" hidden="0" customWidth="1"/>
    <x:col min="5" max="5" width="72.25" hidden="0" customWidth="1"/>
    <x:col min="6" max="6" width="72.25" hidden="0" customWidth="1"/>
    <x:col min="7" max="7" width="72.25" hidden="0" customWidth="1"/>
    <x:col min="8" max="8" width="72.25" hidden="0" customWidth="1"/>
    <x:col min="9" max="9" width="72.25" hidden="0" customWidth="1"/>
    <x:col min="10" max="10" width="72.25" hidden="0" customWidth="1"/>
    <x:col min="11" max="11" width="72.25" hidden="0" customWidth="1"/>
    <x:col min="12" max="12" width="22" hidden="0" customWidth="1"/>
    <x:col min="13" max="13" width="72.25" hidden="0" customWidth="1"/>
    <x:col min="14" max="14" width="72.25" hidden="0" customWidth="1"/>
    <x:col min="15" max="15" width="46" hidden="0" customWidth="1"/>
  </x:cols>
  <x:sheetData>
    <x:row r="1" ht="34" customHeight="1">
      <x:c r="A1" s="3" t="str">
        <x:v>Catalogo H-MAP Industries</x:v>
      </x:c>
      <x:c r="B1" s="3" t="str">
        <x:v>Catalogo H-MAP Industries</x:v>
      </x:c>
      <x:c r="C1" s="3" t="str">
        <x:v>Catalogo H-MAP Industries</x:v>
      </x:c>
      <x:c r="D1" s="3" t="str">
        <x:v>Catalogo H-MAP Industries</x:v>
      </x:c>
      <x:c r="E1" s="3" t="str">
        <x:v>Catalogo H-MAP Industries</x:v>
      </x:c>
      <x:c r="F1" s="3" t="str">
        <x:v>Catalogo H-MAP Industries</x:v>
      </x:c>
      <x:c r="G1" s="3" t="str">
        <x:v>Catalogo H-MAP Industries</x:v>
      </x:c>
      <x:c r="H1" s="3" t="str">
        <x:v>Catalogo H-MAP Industries</x:v>
      </x:c>
      <x:c r="I1" s="3" t="str">
        <x:v>Catalogo H-MAP Industries</x:v>
      </x:c>
      <x:c r="J1" s="3" t="str">
        <x:v>Catalogo H-MAP Industries</x:v>
      </x:c>
      <x:c r="K1" s="3" t="str">
        <x:v>Catalogo H-MAP Industries</x:v>
      </x:c>
      <x:c r="L1" s="3" t="str">
        <x:v>Catalogo H-MAP Industries</x:v>
      </x:c>
      <x:c r="M1" s="3" t="str">
        <x:v>Catalogo H-MAP Industries</x:v>
      </x:c>
      <x:c r="N1" s="3" t="str">
        <x:v>Catalogo H-MAP Industries</x:v>
      </x:c>
      <x:c r="O1" s="3" t="str">
        <x:v>Catalogo H-MAP Industries</x:v>
      </x:c>
    </x:row>
    <x:row r="2" ht="24" customHeight="1">
      <x:c r="A2" s="6" t="str">
        <x:v>Precios recomendados tienen prioridad; cuando faltan, se calcula costo unitario = comision HMAP / limite.</x:v>
      </x:c>
      <x:c r="B2" s="6" t="str">
        <x:v>Precios recomendados tienen prioridad; cuando faltan, se calcula costo unitario = comision HMAP / limite.</x:v>
      </x:c>
      <x:c r="C2" s="6" t="str">
        <x:v>Precios recomendados tienen prioridad; cuando faltan, se calcula costo unitario = comision HMAP / limite.</x:v>
      </x:c>
      <x:c r="D2" s="6" t="str">
        <x:v>Precios recomendados tienen prioridad; cuando faltan, se calcula costo unitario = comision HMAP / limite.</x:v>
      </x:c>
      <x:c r="E2" s="6" t="str">
        <x:v>Precios recomendados tienen prioridad; cuando faltan, se calcula costo unitario = comision HMAP / limite.</x:v>
      </x:c>
      <x:c r="F2" s="6" t="str">
        <x:v>Precios recomendados tienen prioridad; cuando faltan, se calcula costo unitario = comision HMAP / limite.</x:v>
      </x:c>
      <x:c r="G2" s="6" t="str">
        <x:v>Precios recomendados tienen prioridad; cuando faltan, se calcula costo unitario = comision HMAP / limite.</x:v>
      </x:c>
      <x:c r="H2" s="6" t="str">
        <x:v>Precios recomendados tienen prioridad; cuando faltan, se calcula costo unitario = comision HMAP / limite.</x:v>
      </x:c>
      <x:c r="I2" s="6" t="str">
        <x:v>Precios recomendados tienen prioridad; cuando faltan, se calcula costo unitario = comision HMAP / limite.</x:v>
      </x:c>
      <x:c r="J2" s="6" t="str">
        <x:v>Precios recomendados tienen prioridad; cuando faltan, se calcula costo unitario = comision HMAP / limite.</x:v>
      </x:c>
      <x:c r="K2" s="6" t="str">
        <x:v>Precios recomendados tienen prioridad; cuando faltan, se calcula costo unitario = comision HMAP / limite.</x:v>
      </x:c>
      <x:c r="L2" s="6" t="str">
        <x:v>Precios recomendados tienen prioridad; cuando faltan, se calcula costo unitario = comision HMAP / limite.</x:v>
      </x:c>
      <x:c r="M2" s="6" t="str">
        <x:v>Precios recomendados tienen prioridad; cuando faltan, se calcula costo unitario = comision HMAP / limite.</x:v>
      </x:c>
      <x:c r="N2" s="6" t="str">
        <x:v>Precios recomendados tienen prioridad; cuando faltan, se calcula costo unitario = comision HMAP / limite.</x:v>
      </x:c>
      <x:c r="O2" s="6" t="str">
        <x:v>Precios recomendados tienen prioridad; cuando faltan, se calcula costo unitario = comision HMAP / limite.</x:v>
      </x:c>
    </x:row>
    <x:row r="4" ht="30" customHeight="1">
      <x:c r="A4" s="14" t="str">
        <x:v>ID</x:v>
      </x:c>
      <x:c r="B4" s="15" t="str">
        <x:v>Elemento</x:v>
      </x:c>
      <x:c r="C4" s="15" t="str">
        <x:v>Velocidad/dia</x:v>
      </x:c>
      <x:c r="D4" s="15" t="str">
        <x:v>Comision HMAP</x:v>
      </x:c>
      <x:c r="E4" s="15" t="str">
        <x:v>Limite</x:v>
      </x:c>
      <x:c r="F4" s="15" t="str">
        <x:v>Retiro</x:v>
      </x:c>
      <x:c r="G4" s="15" t="str">
        <x:v>Recomendado REEX</x:v>
      </x:c>
      <x:c r="H4" s="15" t="str">
        <x:v>Costo activacion EUR</x:v>
      </x:c>
      <x:c r="I4" s="15" t="str">
        <x:v>Costo unitario EUR</x:v>
      </x:c>
      <x:c r="J4" s="15" t="str">
        <x:v>Recomendado EUR</x:v>
      </x:c>
      <x:c r="K4" s="15" t="str">
        <x:v>Precio seleccionado EUR</x:v>
      </x:c>
      <x:c r="L4" s="15" t="str">
        <x:v>Metodo</x:v>
      </x:c>
      <x:c r="M4" s="15" t="str">
        <x:v>Diferencia bruta</x:v>
      </x:c>
      <x:c r="N4" s="15" t="str">
        <x:v>Margen bruto</x:v>
      </x:c>
      <x:c r="O4" s="16" t="str">
        <x:v>Fuente</x:v>
      </x:c>
    </x:row>
    <x:row r="5" ht="28" customHeight="1">
      <x:c r="A5" s="24" t="n">
        <x:v>1</x:v>
      </x:c>
      <x:c r="B5" s="24" t="str">
        <x:v>Factory IA Silver</x:v>
      </x:c>
      <x:c r="C5" s="35" t="n">
        <x:v>0.02</x:v>
      </x:c>
      <x:c r="D5" s="35" t="n">
        <x:v>9</x:v>
      </x:c>
      <x:c r="E5" s="35" t="n">
        <x:v>4</x:v>
      </x:c>
      <x:c r="F5" s="35" t="n">
        <x:v>46331.625</x:v>
      </x:c>
      <x:c r="G5" s="35" t="n">
        <x:v>18</x:v>
      </x:c>
      <x:c r="H5" s="41" t="n">
        <x:f>D5*Equivalencias!$B$5</x:f>
        <x:v>450</x:v>
      </x:c>
      <x:c r="I5" s="41" t="n">
        <x:f>H5/E5</x:f>
        <x:v>112.5</x:v>
      </x:c>
      <x:c r="J5" s="41" t="n">
        <x:f>IF(G5="","",G5*Equivalencias!$B$6)</x:f>
        <x:v>450</x:v>
      </x:c>
      <x:c r="K5" s="41" t="n">
        <x:f>IF(G5="",I5,J5)</x:f>
        <x:v>450</x:v>
      </x:c>
      <x:c r="L5" s="41" t="str">
        <x:v>Precio recomendado</x:v>
      </x:c>
      <x:c r="M5" s="41" t="n">
        <x:f>K5-I5</x:f>
        <x:v>337.5</x:v>
      </x:c>
      <x:c r="N5" s="42" t="n">
        <x:f>IFERROR(M5/K5,0)</x:f>
        <x:v>0.75</x:v>
      </x:c>
      <x:c r="O5" s="24" t="str">
        <x:v>https://www.olympia-lab.com/es/industries/</x:v>
      </x:c>
    </x:row>
    <x:row r="6" ht="28" customHeight="1">
      <x:c r="A6" s="25" t="n">
        <x:v>2</x:v>
      </x:c>
      <x:c r="B6" s="25" t="str">
        <x:v>7PT COUPON</x:v>
      </x:c>
      <x:c r="C6" s="36" t="n">
        <x:v>0.5</x:v>
      </x:c>
      <x:c r="D6" s="36" t="n">
        <x:v>2</x:v>
      </x:c>
      <x:c r="E6" s="36" t="n">
        <x:v>50</x:v>
      </x:c>
      <x:c r="F6" s="36"/>
      <x:c r="G6" s="36"/>
      <x:c r="H6" s="43" t="n">
        <x:f>D6*Equivalencias!$B$5</x:f>
        <x:v>100</x:v>
      </x:c>
      <x:c r="I6" s="43" t="n">
        <x:f>H6/E6</x:f>
        <x:v>2</x:v>
      </x:c>
      <x:c r="J6" s="43" t="str">
        <x:f>IF(G6="","",G6*Equivalencias!$B$6)</x:f>
      </x:c>
      <x:c r="K6" s="43" t="n">
        <x:f>IF(G6="",I6,J6)</x:f>
        <x:v>2</x:v>
      </x:c>
      <x:c r="L6" s="43" t="str">
        <x:v>Calculado por costo</x:v>
      </x:c>
      <x:c r="M6" s="43" t="n">
        <x:f>K6-I6</x:f>
        <x:v>0</x:v>
      </x:c>
      <x:c r="N6" s="44" t="n">
        <x:f>IFERROR(M6/K6,0)</x:f>
        <x:v>0</x:v>
      </x:c>
      <x:c r="O6" s="25" t="str">
        <x:v>https://www.olympia-lab.com/es/industries/</x:v>
      </x:c>
    </x:row>
    <x:row r="7" ht="28" customHeight="1">
      <x:c r="A7" s="25" t="n">
        <x:v>3</x:v>
      </x:c>
      <x:c r="B7" s="25" t="str">
        <x:v>9PT COUPON</x:v>
      </x:c>
      <x:c r="C7" s="36" t="n">
        <x:v>0.5</x:v>
      </x:c>
      <x:c r="D7" s="36" t="n">
        <x:v>2</x:v>
      </x:c>
      <x:c r="E7" s="36" t="n">
        <x:v>50</x:v>
      </x:c>
      <x:c r="F7" s="36"/>
      <x:c r="G7" s="36"/>
      <x:c r="H7" s="43" t="n">
        <x:f>D7*Equivalencias!$B$5</x:f>
        <x:v>100</x:v>
      </x:c>
      <x:c r="I7" s="43" t="n">
        <x:f>H7/E7</x:f>
        <x:v>2</x:v>
      </x:c>
      <x:c r="J7" s="43" t="str">
        <x:f>IF(G7="","",G7*Equivalencias!$B$6)</x:f>
      </x:c>
      <x:c r="K7" s="43" t="n">
        <x:f>IF(G7="",I7,J7)</x:f>
        <x:v>2</x:v>
      </x:c>
      <x:c r="L7" s="43" t="str">
        <x:v>Calculado por costo</x:v>
      </x:c>
      <x:c r="M7" s="43" t="n">
        <x:f>K7-I7</x:f>
        <x:v>0</x:v>
      </x:c>
      <x:c r="N7" s="44" t="n">
        <x:f>IFERROR(M7/K7,0)</x:f>
        <x:v>0</x:v>
      </x:c>
      <x:c r="O7" s="25" t="str">
        <x:v>https://www.olympia-lab.com/es/industries/</x:v>
      </x:c>
    </x:row>
    <x:row r="8" ht="28" customHeight="1">
      <x:c r="A8" s="25" t="n">
        <x:v>4</x:v>
      </x:c>
      <x:c r="B8" s="25" t="str">
        <x:v>7PT.PRO COUPON</x:v>
      </x:c>
      <x:c r="C8" s="36" t="n">
        <x:v>0.2</x:v>
      </x:c>
      <x:c r="D8" s="36" t="n">
        <x:v>5</x:v>
      </x:c>
      <x:c r="E8" s="36" t="n">
        <x:v>50</x:v>
      </x:c>
      <x:c r="F8" s="36"/>
      <x:c r="G8" s="36"/>
      <x:c r="H8" s="43" t="n">
        <x:f>D8*Equivalencias!$B$5</x:f>
        <x:v>250</x:v>
      </x:c>
      <x:c r="I8" s="43" t="n">
        <x:f>H8/E8</x:f>
        <x:v>5</x:v>
      </x:c>
      <x:c r="J8" s="43" t="str">
        <x:f>IF(G8="","",G8*Equivalencias!$B$6)</x:f>
      </x:c>
      <x:c r="K8" s="43" t="n">
        <x:f>IF(G8="",I8,J8)</x:f>
        <x:v>5</x:v>
      </x:c>
      <x:c r="L8" s="43" t="str">
        <x:v>Calculado por costo</x:v>
      </x:c>
      <x:c r="M8" s="43" t="n">
        <x:f>K8-I8</x:f>
        <x:v>0</x:v>
      </x:c>
      <x:c r="N8" s="44" t="n">
        <x:f>IFERROR(M8/K8,0)</x:f>
        <x:v>0</x:v>
      </x:c>
      <x:c r="O8" s="25" t="str">
        <x:v>https://www.olympia-lab.com/es/industries/</x:v>
      </x:c>
    </x:row>
    <x:row r="9" ht="28" customHeight="1">
      <x:c r="A9" s="25" t="n">
        <x:v>5</x:v>
      </x:c>
      <x:c r="B9" s="25" t="str">
        <x:v>NLT Coin</x:v>
      </x:c>
      <x:c r="C9" s="36" t="n">
        <x:v>2</x:v>
      </x:c>
      <x:c r="D9" s="36" t="n">
        <x:v>2</x:v>
      </x:c>
      <x:c r="E9" s="36" t="n">
        <x:v>1000</x:v>
      </x:c>
      <x:c r="F9" s="36"/>
      <x:c r="G9" s="36"/>
      <x:c r="H9" s="43" t="n">
        <x:f>D9*Equivalencias!$B$5</x:f>
        <x:v>100</x:v>
      </x:c>
      <x:c r="I9" s="43" t="n">
        <x:f>H9/E9</x:f>
        <x:v>0.1</x:v>
      </x:c>
      <x:c r="J9" s="43" t="str">
        <x:f>IF(G9="","",G9*Equivalencias!$B$6)</x:f>
      </x:c>
      <x:c r="K9" s="43" t="n">
        <x:f>IF(G9="",I9,J9)</x:f>
        <x:v>0.1</x:v>
      </x:c>
      <x:c r="L9" s="43" t="str">
        <x:v>Calculado por costo</x:v>
      </x:c>
      <x:c r="M9" s="43" t="n">
        <x:f>K9-I9</x:f>
        <x:v>0</x:v>
      </x:c>
      <x:c r="N9" s="44" t="n">
        <x:f>IFERROR(M9/K9,0)</x:f>
        <x:v>0</x:v>
      </x:c>
      <x:c r="O9" s="25" t="str">
        <x:v>https://www.olympia-lab.com/es/industries/</x:v>
      </x:c>
    </x:row>
    <x:row r="10" ht="28" customHeight="1">
      <x:c r="A10" s="25" t="n">
        <x:v>6</x:v>
      </x:c>
      <x:c r="B10" s="25" t="str">
        <x:v>Orbe de video: caliza</x:v>
      </x:c>
      <x:c r="C10" s="36" t="n">
        <x:v>0.2</x:v>
      </x:c>
      <x:c r="D10" s="36" t="n">
        <x:v>2</x:v>
      </x:c>
      <x:c r="E10" s="36" t="n">
        <x:v>200</x:v>
      </x:c>
      <x:c r="F10" s="36" t="n">
        <x:v>46331.625</x:v>
      </x:c>
      <x:c r="G10" s="36" t="n">
        <x:v>0.2</x:v>
      </x:c>
      <x:c r="H10" s="43" t="n">
        <x:f>D10*Equivalencias!$B$5</x:f>
        <x:v>100</x:v>
      </x:c>
      <x:c r="I10" s="43" t="n">
        <x:f>H10/E10</x:f>
        <x:v>0.5</x:v>
      </x:c>
      <x:c r="J10" s="43" t="n">
        <x:f>IF(G10="","",G10*Equivalencias!$B$6)</x:f>
        <x:v>5</x:v>
      </x:c>
      <x:c r="K10" s="43" t="n">
        <x:f>IF(G10="",I10,J10)</x:f>
        <x:v>5</x:v>
      </x:c>
      <x:c r="L10" s="43" t="str">
        <x:v>Precio recomendado</x:v>
      </x:c>
      <x:c r="M10" s="43" t="n">
        <x:f>K10-I10</x:f>
        <x:v>4.5</x:v>
      </x:c>
      <x:c r="N10" s="44" t="n">
        <x:f>IFERROR(M10/K10,0)</x:f>
        <x:v>0.9</x:v>
      </x:c>
      <x:c r="O10" s="25" t="str">
        <x:v>https://www.olympia-lab.com/es/industries/</x:v>
      </x:c>
    </x:row>
    <x:row r="11" ht="28" customHeight="1">
      <x:c r="A11" s="25" t="n">
        <x:v>7</x:v>
      </x:c>
      <x:c r="B11" s="25" t="str">
        <x:v>Orbe de video: silicio</x:v>
      </x:c>
      <x:c r="C11" s="36" t="n">
        <x:v>0.2</x:v>
      </x:c>
      <x:c r="D11" s="36" t="n">
        <x:v>2</x:v>
      </x:c>
      <x:c r="E11" s="36" t="n">
        <x:v>200</x:v>
      </x:c>
      <x:c r="F11" s="36" t="n">
        <x:v>46331.625</x:v>
      </x:c>
      <x:c r="G11" s="36" t="n">
        <x:v>0.2</x:v>
      </x:c>
      <x:c r="H11" s="43" t="n">
        <x:f>D11*Equivalencias!$B$5</x:f>
        <x:v>100</x:v>
      </x:c>
      <x:c r="I11" s="43" t="n">
        <x:f>H11/E11</x:f>
        <x:v>0.5</x:v>
      </x:c>
      <x:c r="J11" s="43" t="n">
        <x:f>IF(G11="","",G11*Equivalencias!$B$6)</x:f>
        <x:v>5</x:v>
      </x:c>
      <x:c r="K11" s="43" t="n">
        <x:f>IF(G11="",I11,J11)</x:f>
        <x:v>5</x:v>
      </x:c>
      <x:c r="L11" s="43" t="str">
        <x:v>Precio recomendado</x:v>
      </x:c>
      <x:c r="M11" s="43" t="n">
        <x:f>K11-I11</x:f>
        <x:v>4.5</x:v>
      </x:c>
      <x:c r="N11" s="44" t="n">
        <x:f>IFERROR(M11/K11,0)</x:f>
        <x:v>0.9</x:v>
      </x:c>
      <x:c r="O11" s="25" t="str">
        <x:v>https://www.olympia-lab.com/es/industries/</x:v>
      </x:c>
    </x:row>
    <x:row r="12" ht="28" customHeight="1">
      <x:c r="A12" s="25" t="n">
        <x:v>8</x:v>
      </x:c>
      <x:c r="B12" s="25" t="str">
        <x:v>Orbe de video: carbon</x:v>
      </x:c>
      <x:c r="C12" s="36" t="n">
        <x:v>0.2</x:v>
      </x:c>
      <x:c r="D12" s="36" t="n">
        <x:v>2</x:v>
      </x:c>
      <x:c r="E12" s="36" t="n">
        <x:v>200</x:v>
      </x:c>
      <x:c r="F12" s="36" t="n">
        <x:v>46331.625</x:v>
      </x:c>
      <x:c r="G12" s="36" t="n">
        <x:v>0.2</x:v>
      </x:c>
      <x:c r="H12" s="43" t="n">
        <x:f>D12*Equivalencias!$B$5</x:f>
        <x:v>100</x:v>
      </x:c>
      <x:c r="I12" s="43" t="n">
        <x:f>H12/E12</x:f>
        <x:v>0.5</x:v>
      </x:c>
      <x:c r="J12" s="43" t="n">
        <x:f>IF(G12="","",G12*Equivalencias!$B$6)</x:f>
        <x:v>5</x:v>
      </x:c>
      <x:c r="K12" s="43" t="n">
        <x:f>IF(G12="",I12,J12)</x:f>
        <x:v>5</x:v>
      </x:c>
      <x:c r="L12" s="43" t="str">
        <x:v>Precio recomendado</x:v>
      </x:c>
      <x:c r="M12" s="43" t="n">
        <x:f>K12-I12</x:f>
        <x:v>4.5</x:v>
      </x:c>
      <x:c r="N12" s="44" t="n">
        <x:f>IFERROR(M12/K12,0)</x:f>
        <x:v>0.9</x:v>
      </x:c>
      <x:c r="O12" s="25" t="str">
        <x:v>https://www.olympia-lab.com/es/industries/</x:v>
      </x:c>
    </x:row>
    <x:row r="13" ht="28" customHeight="1">
      <x:c r="A13" s="25" t="n">
        <x:v>9</x:v>
      </x:c>
      <x:c r="B13" s="25" t="str">
        <x:v>Orbe de video: petroleo</x:v>
      </x:c>
      <x:c r="C13" s="36" t="n">
        <x:v>0.2</x:v>
      </x:c>
      <x:c r="D13" s="36" t="n">
        <x:v>2</x:v>
      </x:c>
      <x:c r="E13" s="36" t="n">
        <x:v>200</x:v>
      </x:c>
      <x:c r="F13" s="36" t="n">
        <x:v>46331.625</x:v>
      </x:c>
      <x:c r="G13" s="36" t="n">
        <x:v>0.2</x:v>
      </x:c>
      <x:c r="H13" s="43" t="n">
        <x:f>D13*Equivalencias!$B$5</x:f>
        <x:v>100</x:v>
      </x:c>
      <x:c r="I13" s="43" t="n">
        <x:f>H13/E13</x:f>
        <x:v>0.5</x:v>
      </x:c>
      <x:c r="J13" s="43" t="n">
        <x:f>IF(G13="","",G13*Equivalencias!$B$6)</x:f>
        <x:v>5</x:v>
      </x:c>
      <x:c r="K13" s="43" t="n">
        <x:f>IF(G13="",I13,J13)</x:f>
        <x:v>5</x:v>
      </x:c>
      <x:c r="L13" s="43" t="str">
        <x:v>Precio recomendado</x:v>
      </x:c>
      <x:c r="M13" s="43" t="n">
        <x:f>K13-I13</x:f>
        <x:v>4.5</x:v>
      </x:c>
      <x:c r="N13" s="44" t="n">
        <x:f>IFERROR(M13/K13,0)</x:f>
        <x:v>0.9</x:v>
      </x:c>
      <x:c r="O13" s="25" t="str">
        <x:v>https://www.olympia-lab.com/es/industries/</x:v>
      </x:c>
    </x:row>
    <x:row r="14" ht="28" customHeight="1">
      <x:c r="A14" s="25" t="n">
        <x:v>10</x:v>
      </x:c>
      <x:c r="B14" s="25" t="str">
        <x:v>Orbe de video: aluminio</x:v>
      </x:c>
      <x:c r="C14" s="36" t="n">
        <x:v>0.2</x:v>
      </x:c>
      <x:c r="D14" s="36" t="n">
        <x:v>2</x:v>
      </x:c>
      <x:c r="E14" s="36" t="n">
        <x:v>200</x:v>
      </x:c>
      <x:c r="F14" s="36" t="n">
        <x:v>46331.625</x:v>
      </x:c>
      <x:c r="G14" s="36" t="n">
        <x:v>0.2</x:v>
      </x:c>
      <x:c r="H14" s="43" t="n">
        <x:f>D14*Equivalencias!$B$5</x:f>
        <x:v>100</x:v>
      </x:c>
      <x:c r="I14" s="43" t="n">
        <x:f>H14/E14</x:f>
        <x:v>0.5</x:v>
      </x:c>
      <x:c r="J14" s="43" t="n">
        <x:f>IF(G14="","",G14*Equivalencias!$B$6)</x:f>
        <x:v>5</x:v>
      </x:c>
      <x:c r="K14" s="43" t="n">
        <x:f>IF(G14="",I14,J14)</x:f>
        <x:v>5</x:v>
      </x:c>
      <x:c r="L14" s="43" t="str">
        <x:v>Precio recomendado</x:v>
      </x:c>
      <x:c r="M14" s="43" t="n">
        <x:f>K14-I14</x:f>
        <x:v>4.5</x:v>
      </x:c>
      <x:c r="N14" s="44" t="n">
        <x:f>IFERROR(M14/K14,0)</x:f>
        <x:v>0.9</x:v>
      </x:c>
      <x:c r="O14" s="25" t="str">
        <x:v>https://www.olympia-lab.com/es/industries/</x:v>
      </x:c>
    </x:row>
    <x:row r="15" ht="28" customHeight="1">
      <x:c r="A15" s="25" t="n">
        <x:v>11</x:v>
      </x:c>
      <x:c r="B15" s="25" t="str">
        <x:v>Orbe de video: hierro</x:v>
      </x:c>
      <x:c r="C15" s="36" t="n">
        <x:v>0.2</x:v>
      </x:c>
      <x:c r="D15" s="36" t="n">
        <x:v>2</x:v>
      </x:c>
      <x:c r="E15" s="36" t="n">
        <x:v>200</x:v>
      </x:c>
      <x:c r="F15" s="36" t="n">
        <x:v>46331.625</x:v>
      </x:c>
      <x:c r="G15" s="36" t="n">
        <x:v>0.2</x:v>
      </x:c>
      <x:c r="H15" s="43" t="n">
        <x:f>D15*Equivalencias!$B$5</x:f>
        <x:v>100</x:v>
      </x:c>
      <x:c r="I15" s="43" t="n">
        <x:f>H15/E15</x:f>
        <x:v>0.5</x:v>
      </x:c>
      <x:c r="J15" s="43" t="n">
        <x:f>IF(G15="","",G15*Equivalencias!$B$6)</x:f>
        <x:v>5</x:v>
      </x:c>
      <x:c r="K15" s="43" t="n">
        <x:f>IF(G15="",I15,J15)</x:f>
        <x:v>5</x:v>
      </x:c>
      <x:c r="L15" s="43" t="str">
        <x:v>Precio recomendado</x:v>
      </x:c>
      <x:c r="M15" s="43" t="n">
        <x:f>K15-I15</x:f>
        <x:v>4.5</x:v>
      </x:c>
      <x:c r="N15" s="44" t="n">
        <x:f>IFERROR(M15/K15,0)</x:f>
        <x:v>0.9</x:v>
      </x:c>
      <x:c r="O15" s="25" t="str">
        <x:v>https://www.olympia-lab.com/es/industries/</x:v>
      </x:c>
    </x:row>
    <x:row r="16" ht="28" customHeight="1">
      <x:c r="A16" s="25" t="n">
        <x:v>12</x:v>
      </x:c>
      <x:c r="B16" s="25" t="str">
        <x:v>Orbe de video: cobre</x:v>
      </x:c>
      <x:c r="C16" s="36" t="n">
        <x:v>0.2</x:v>
      </x:c>
      <x:c r="D16" s="36" t="n">
        <x:v>2</x:v>
      </x:c>
      <x:c r="E16" s="36" t="n">
        <x:v>200</x:v>
      </x:c>
      <x:c r="F16" s="36" t="n">
        <x:v>46331.625</x:v>
      </x:c>
      <x:c r="G16" s="36" t="n">
        <x:v>0.2</x:v>
      </x:c>
      <x:c r="H16" s="43" t="n">
        <x:f>D16*Equivalencias!$B$5</x:f>
        <x:v>100</x:v>
      </x:c>
      <x:c r="I16" s="43" t="n">
        <x:f>H16/E16</x:f>
        <x:v>0.5</x:v>
      </x:c>
      <x:c r="J16" s="43" t="n">
        <x:f>IF(G16="","",G16*Equivalencias!$B$6)</x:f>
        <x:v>5</x:v>
      </x:c>
      <x:c r="K16" s="43" t="n">
        <x:f>IF(G16="",I16,J16)</x:f>
        <x:v>5</x:v>
      </x:c>
      <x:c r="L16" s="43" t="str">
        <x:v>Precio recomendado</x:v>
      </x:c>
      <x:c r="M16" s="43" t="n">
        <x:f>K16-I16</x:f>
        <x:v>4.5</x:v>
      </x:c>
      <x:c r="N16" s="44" t="n">
        <x:f>IFERROR(M16/K16,0)</x:f>
        <x:v>0.9</x:v>
      </x:c>
      <x:c r="O16" s="25" t="str">
        <x:v>https://www.olympia-lab.com/es/industries/</x:v>
      </x:c>
    </x:row>
    <x:row r="17" ht="28" customHeight="1">
      <x:c r="A17" s="25" t="n">
        <x:v>13</x:v>
      </x:c>
      <x:c r="B17" s="25" t="str">
        <x:v>Orbe de video: titanio</x:v>
      </x:c>
      <x:c r="C17" s="36" t="n">
        <x:v>0.2</x:v>
      </x:c>
      <x:c r="D17" s="36" t="n">
        <x:v>2</x:v>
      </x:c>
      <x:c r="E17" s="36" t="n">
        <x:v>200</x:v>
      </x:c>
      <x:c r="F17" s="36" t="n">
        <x:v>46331.625</x:v>
      </x:c>
      <x:c r="G17" s="36" t="n">
        <x:v>0.2</x:v>
      </x:c>
      <x:c r="H17" s="43" t="n">
        <x:f>D17*Equivalencias!$B$5</x:f>
        <x:v>100</x:v>
      </x:c>
      <x:c r="I17" s="43" t="n">
        <x:f>H17/E17</x:f>
        <x:v>0.5</x:v>
      </x:c>
      <x:c r="J17" s="43" t="n">
        <x:f>IF(G17="","",G17*Equivalencias!$B$6)</x:f>
        <x:v>5</x:v>
      </x:c>
      <x:c r="K17" s="43" t="n">
        <x:f>IF(G17="",I17,J17)</x:f>
        <x:v>5</x:v>
      </x:c>
      <x:c r="L17" s="43" t="str">
        <x:v>Precio recomendado</x:v>
      </x:c>
      <x:c r="M17" s="43" t="n">
        <x:f>K17-I17</x:f>
        <x:v>4.5</x:v>
      </x:c>
      <x:c r="N17" s="44" t="n">
        <x:f>IFERROR(M17/K17,0)</x:f>
        <x:v>0.9</x:v>
      </x:c>
      <x:c r="O17" s="25" t="str">
        <x:v>https://www.olympia-lab.com/es/industries/</x:v>
      </x:c>
    </x:row>
    <x:row r="18" ht="28" customHeight="1">
      <x:c r="A18" s="25" t="n">
        <x:v>14</x:v>
      </x:c>
      <x:c r="B18" s="25" t="str">
        <x:v>Orbe de video: galio</x:v>
      </x:c>
      <x:c r="C18" s="36" t="n">
        <x:v>0.2</x:v>
      </x:c>
      <x:c r="D18" s="36" t="n">
        <x:v>2</x:v>
      </x:c>
      <x:c r="E18" s="36" t="n">
        <x:v>200</x:v>
      </x:c>
      <x:c r="F18" s="36" t="n">
        <x:v>46331.625</x:v>
      </x:c>
      <x:c r="G18" s="36" t="n">
        <x:v>0.2</x:v>
      </x:c>
      <x:c r="H18" s="43" t="n">
        <x:f>D18*Equivalencias!$B$5</x:f>
        <x:v>100</x:v>
      </x:c>
      <x:c r="I18" s="43" t="n">
        <x:f>H18/E18</x:f>
        <x:v>0.5</x:v>
      </x:c>
      <x:c r="J18" s="43" t="n">
        <x:f>IF(G18="","",G18*Equivalencias!$B$6)</x:f>
        <x:v>5</x:v>
      </x:c>
      <x:c r="K18" s="43" t="n">
        <x:f>IF(G18="",I18,J18)</x:f>
        <x:v>5</x:v>
      </x:c>
      <x:c r="L18" s="43" t="str">
        <x:v>Precio recomendado</x:v>
      </x:c>
      <x:c r="M18" s="43" t="n">
        <x:f>K18-I18</x:f>
        <x:v>4.5</x:v>
      </x:c>
      <x:c r="N18" s="44" t="n">
        <x:f>IFERROR(M18/K18,0)</x:f>
        <x:v>0.9</x:v>
      </x:c>
      <x:c r="O18" s="25" t="str">
        <x:v>https://www.olympia-lab.com/es/industries/</x:v>
      </x:c>
    </x:row>
    <x:row r="19" ht="28" customHeight="1">
      <x:c r="A19" s="25" t="n">
        <x:v>15</x:v>
      </x:c>
      <x:c r="B19" s="25" t="str">
        <x:v>Orbe de video: litio</x:v>
      </x:c>
      <x:c r="C19" s="36" t="n">
        <x:v>0.2</x:v>
      </x:c>
      <x:c r="D19" s="36" t="n">
        <x:v>2</x:v>
      </x:c>
      <x:c r="E19" s="36" t="n">
        <x:v>200</x:v>
      </x:c>
      <x:c r="F19" s="36" t="n">
        <x:v>46331.625</x:v>
      </x:c>
      <x:c r="G19" s="36" t="n">
        <x:v>0.2</x:v>
      </x:c>
      <x:c r="H19" s="43" t="n">
        <x:f>D19*Equivalencias!$B$5</x:f>
        <x:v>100</x:v>
      </x:c>
      <x:c r="I19" s="43" t="n">
        <x:f>H19/E19</x:f>
        <x:v>0.5</x:v>
      </x:c>
      <x:c r="J19" s="43" t="n">
        <x:f>IF(G19="","",G19*Equivalencias!$B$6)</x:f>
        <x:v>5</x:v>
      </x:c>
      <x:c r="K19" s="43" t="n">
        <x:f>IF(G19="",I19,J19)</x:f>
        <x:v>5</x:v>
      </x:c>
      <x:c r="L19" s="43" t="str">
        <x:v>Precio recomendado</x:v>
      </x:c>
      <x:c r="M19" s="43" t="n">
        <x:f>K19-I19</x:f>
        <x:v>4.5</x:v>
      </x:c>
      <x:c r="N19" s="44" t="n">
        <x:f>IFERROR(M19/K19,0)</x:f>
        <x:v>0.9</x:v>
      </x:c>
      <x:c r="O19" s="25" t="str">
        <x:v>https://www.olympia-lab.com/es/industries/</x:v>
      </x:c>
    </x:row>
    <x:row r="20" ht="28" customHeight="1">
      <x:c r="A20" s="25" t="n">
        <x:v>16</x:v>
      </x:c>
      <x:c r="B20" s="25" t="str">
        <x:v>Hepta:booster</x:v>
      </x:c>
      <x:c r="C20" s="36" t="n">
        <x:v>1</x:v>
      </x:c>
      <x:c r="D20" s="36" t="n">
        <x:v>2</x:v>
      </x:c>
      <x:c r="E20" s="36" t="n">
        <x:v>1000</x:v>
      </x:c>
      <x:c r="F20" s="36" t="n">
        <x:v>46331.625</x:v>
      </x:c>
      <x:c r="G20" s="36" t="n">
        <x:v>0.02</x:v>
      </x:c>
      <x:c r="H20" s="43" t="n">
        <x:f>D20*Equivalencias!$B$5</x:f>
        <x:v>100</x:v>
      </x:c>
      <x:c r="I20" s="43" t="n">
        <x:f>H20/E20</x:f>
        <x:v>0.1</x:v>
      </x:c>
      <x:c r="J20" s="43" t="n">
        <x:f>IF(G20="","",G20*Equivalencias!$B$6)</x:f>
        <x:v>0.5</x:v>
      </x:c>
      <x:c r="K20" s="43" t="n">
        <x:f>IF(G20="",I20,J20)</x:f>
        <x:v>0.5</x:v>
      </x:c>
      <x:c r="L20" s="43" t="str">
        <x:v>Precio recomendado</x:v>
      </x:c>
      <x:c r="M20" s="43" t="n">
        <x:f>K20-I20</x:f>
        <x:v>0.4</x:v>
      </x:c>
      <x:c r="N20" s="44" t="n">
        <x:f>IFERROR(M20/K20,0)</x:f>
        <x:v>0.8</x:v>
      </x:c>
      <x:c r="O20" s="25" t="str">
        <x:v>https://www.olympia-lab.com/es/industries/</x:v>
      </x:c>
    </x:row>
    <x:row r="21" ht="28" customHeight="1">
      <x:c r="A21" s="25" t="n">
        <x:v>17</x:v>
      </x:c>
      <x:c r="B21" s="25" t="str">
        <x:v>Orbe de video: plata</x:v>
      </x:c>
      <x:c r="C21" s="36" t="n">
        <x:v>0.2</x:v>
      </x:c>
      <x:c r="D21" s="36" t="n">
        <x:v>2</x:v>
      </x:c>
      <x:c r="E21" s="36" t="n">
        <x:v>200</x:v>
      </x:c>
      <x:c r="F21" s="36" t="n">
        <x:v>46331.625</x:v>
      </x:c>
      <x:c r="G21" s="36" t="n">
        <x:v>0.2</x:v>
      </x:c>
      <x:c r="H21" s="43" t="n">
        <x:f>D21*Equivalencias!$B$5</x:f>
        <x:v>100</x:v>
      </x:c>
      <x:c r="I21" s="43" t="n">
        <x:f>H21/E21</x:f>
        <x:v>0.5</x:v>
      </x:c>
      <x:c r="J21" s="43" t="n">
        <x:f>IF(G21="","",G21*Equivalencias!$B$6)</x:f>
        <x:v>5</x:v>
      </x:c>
      <x:c r="K21" s="43" t="n">
        <x:f>IF(G21="",I21,J21)</x:f>
        <x:v>5</x:v>
      </x:c>
      <x:c r="L21" s="43" t="str">
        <x:v>Precio recomendado</x:v>
      </x:c>
      <x:c r="M21" s="43" t="n">
        <x:f>K21-I21</x:f>
        <x:v>4.5</x:v>
      </x:c>
      <x:c r="N21" s="44" t="n">
        <x:f>IFERROR(M21/K21,0)</x:f>
        <x:v>0.9</x:v>
      </x:c>
      <x:c r="O21" s="25" t="str">
        <x:v>https://www.olympia-lab.com/es/industries/</x:v>
      </x:c>
    </x:row>
    <x:row r="22" ht="28" customHeight="1">
      <x:c r="A22" s="25" t="n">
        <x:v>18</x:v>
      </x:c>
      <x:c r="B22" s="25" t="str">
        <x:v>Orbe de video: oro</x:v>
      </x:c>
      <x:c r="C22" s="36" t="n">
        <x:v>0.2</x:v>
      </x:c>
      <x:c r="D22" s="36" t="n">
        <x:v>2</x:v>
      </x:c>
      <x:c r="E22" s="36" t="n">
        <x:v>200</x:v>
      </x:c>
      <x:c r="F22" s="36" t="n">
        <x:v>46331.625</x:v>
      </x:c>
      <x:c r="G22" s="36" t="n">
        <x:v>0.2</x:v>
      </x:c>
      <x:c r="H22" s="43" t="n">
        <x:f>D22*Equivalencias!$B$5</x:f>
        <x:v>100</x:v>
      </x:c>
      <x:c r="I22" s="43" t="n">
        <x:f>H22/E22</x:f>
        <x:v>0.5</x:v>
      </x:c>
      <x:c r="J22" s="43" t="n">
        <x:f>IF(G22="","",G22*Equivalencias!$B$6)</x:f>
        <x:v>5</x:v>
      </x:c>
      <x:c r="K22" s="43" t="n">
        <x:f>IF(G22="",I22,J22)</x:f>
        <x:v>5</x:v>
      </x:c>
      <x:c r="L22" s="43" t="str">
        <x:v>Precio recomendado</x:v>
      </x:c>
      <x:c r="M22" s="43" t="n">
        <x:f>K22-I22</x:f>
        <x:v>4.5</x:v>
      </x:c>
      <x:c r="N22" s="44" t="n">
        <x:f>IFERROR(M22/K22,0)</x:f>
        <x:v>0.9</x:v>
      </x:c>
      <x:c r="O22" s="25" t="str">
        <x:v>https://www.olympia-lab.com/es/industries/</x:v>
      </x:c>
    </x:row>
    <x:row r="23" ht="28" customHeight="1">
      <x:c r="A23" s="25" t="n">
        <x:v>19</x:v>
      </x:c>
      <x:c r="B23" s="25" t="str">
        <x:v>Hepta:Miner3</x:v>
      </x:c>
      <x:c r="C23" s="36" t="n">
        <x:v>0.2</x:v>
      </x:c>
      <x:c r="D23" s="36" t="n">
        <x:v>2</x:v>
      </x:c>
      <x:c r="E23" s="36" t="n">
        <x:v>500</x:v>
      </x:c>
      <x:c r="F23" s="36" t="n">
        <x:v>46331.625</x:v>
      </x:c>
      <x:c r="G23" s="36" t="n">
        <x:v>0.01</x:v>
      </x:c>
      <x:c r="H23" s="43" t="n">
        <x:f>D23*Equivalencias!$B$5</x:f>
        <x:v>100</x:v>
      </x:c>
      <x:c r="I23" s="43" t="n">
        <x:f>H23/E23</x:f>
        <x:v>0.2</x:v>
      </x:c>
      <x:c r="J23" s="43" t="n">
        <x:f>IF(G23="","",G23*Equivalencias!$B$6)</x:f>
        <x:v>0.25</x:v>
      </x:c>
      <x:c r="K23" s="43" t="n">
        <x:f>IF(G23="",I23,J23)</x:f>
        <x:v>0.25</x:v>
      </x:c>
      <x:c r="L23" s="43" t="str">
        <x:v>Precio recomendado</x:v>
      </x:c>
      <x:c r="M23" s="43" t="n">
        <x:f>K23-I23</x:f>
        <x:v>0.04999999999999999</x:v>
      </x:c>
      <x:c r="N23" s="44" t="n">
        <x:f>IFERROR(M23/K23,0)</x:f>
        <x:v>0.19999999999999996</x:v>
      </x:c>
      <x:c r="O23" s="25" t="str">
        <x:v>https://www.olympia-lab.com/es/industries/</x:v>
      </x:c>
    </x:row>
    <x:row r="24" ht="28" customHeight="1">
      <x:c r="A24" s="25" t="n">
        <x:v>20</x:v>
      </x:c>
      <x:c r="B24" s="25" t="str">
        <x:v>Exchange point</x:v>
      </x:c>
      <x:c r="C24" s="36" t="n">
        <x:v>0.1</x:v>
      </x:c>
      <x:c r="D24" s="36" t="n">
        <x:v>3</x:v>
      </x:c>
      <x:c r="E24" s="36" t="n">
        <x:v>50</x:v>
      </x:c>
      <x:c r="F24" s="36" t="n">
        <x:v>46331.625</x:v>
      </x:c>
      <x:c r="G24" s="36" t="n">
        <x:v>0.4</x:v>
      </x:c>
      <x:c r="H24" s="43" t="n">
        <x:f>D24*Equivalencias!$B$5</x:f>
        <x:v>150</x:v>
      </x:c>
      <x:c r="I24" s="43" t="n">
        <x:f>H24/E24</x:f>
        <x:v>3</x:v>
      </x:c>
      <x:c r="J24" s="43" t="n">
        <x:f>IF(G24="","",G24*Equivalencias!$B$6)</x:f>
        <x:v>10</x:v>
      </x:c>
      <x:c r="K24" s="43" t="n">
        <x:f>IF(G24="",I24,J24)</x:f>
        <x:v>10</x:v>
      </x:c>
      <x:c r="L24" s="43" t="str">
        <x:v>Precio recomendado</x:v>
      </x:c>
      <x:c r="M24" s="43" t="n">
        <x:f>K24-I24</x:f>
        <x:v>7</x:v>
      </x:c>
      <x:c r="N24" s="44" t="n">
        <x:f>IFERROR(M24/K24,0)</x:f>
        <x:v>0.7</x:v>
      </x:c>
      <x:c r="O24" s="25" t="str">
        <x:v>https://www.olympia-lab.com/es/industries/</x:v>
      </x:c>
    </x:row>
    <x:row r="25" ht="28" customHeight="1">
      <x:c r="A25" s="25" t="n">
        <x:v>21</x:v>
      </x:c>
      <x:c r="B25" s="25" t="str">
        <x:v>Fan Stele</x:v>
      </x:c>
      <x:c r="C25" s="36" t="n">
        <x:v>0.05</x:v>
      </x:c>
      <x:c r="D25" s="36" t="n">
        <x:v>5</x:v>
      </x:c>
      <x:c r="E25" s="36" t="n">
        <x:v>25</x:v>
      </x:c>
      <x:c r="F25" s="36" t="n">
        <x:v>46331.625</x:v>
      </x:c>
      <x:c r="G25" s="36" t="n">
        <x:v>1.2</x:v>
      </x:c>
      <x:c r="H25" s="43" t="n">
        <x:f>D25*Equivalencias!$B$5</x:f>
        <x:v>250</x:v>
      </x:c>
      <x:c r="I25" s="43" t="n">
        <x:f>H25/E25</x:f>
        <x:v>10</x:v>
      </x:c>
      <x:c r="J25" s="43" t="n">
        <x:f>IF(G25="","",G25*Equivalencias!$B$6)</x:f>
        <x:v>30</x:v>
      </x:c>
      <x:c r="K25" s="43" t="n">
        <x:f>IF(G25="",I25,J25)</x:f>
        <x:v>30</x:v>
      </x:c>
      <x:c r="L25" s="43" t="str">
        <x:v>Precio recomendado</x:v>
      </x:c>
      <x:c r="M25" s="43" t="n">
        <x:f>K25-I25</x:f>
        <x:v>20</x:v>
      </x:c>
      <x:c r="N25" s="44" t="n">
        <x:f>IFERROR(M25/K25,0)</x:f>
        <x:v>0.6666666666666666</x:v>
      </x:c>
      <x:c r="O25" s="25" t="str">
        <x:v>https://www.olympia-lab.com/es/industries/</x:v>
      </x:c>
    </x:row>
    <x:row r="26" ht="28" customHeight="1">
      <x:c r="A26" s="25" t="n">
        <x:v>22</x:v>
      </x:c>
      <x:c r="B26" s="25" t="str">
        <x:v>Blue Orbs Fusion</x:v>
      </x:c>
      <x:c r="C26" s="36" t="n">
        <x:v>0.1</x:v>
      </x:c>
      <x:c r="D26" s="36" t="n">
        <x:v>10</x:v>
      </x:c>
      <x:c r="E26" s="36" t="n">
        <x:v>20</x:v>
      </x:c>
      <x:c r="F26" s="36" t="n">
        <x:v>46331.625</x:v>
      </x:c>
      <x:c r="G26" s="36" t="n">
        <x:v>3</x:v>
      </x:c>
      <x:c r="H26" s="43" t="n">
        <x:f>D26*Equivalencias!$B$5</x:f>
        <x:v>500</x:v>
      </x:c>
      <x:c r="I26" s="43" t="n">
        <x:f>H26/E26</x:f>
        <x:v>25</x:v>
      </x:c>
      <x:c r="J26" s="43" t="n">
        <x:f>IF(G26="","",G26*Equivalencias!$B$6)</x:f>
        <x:v>75</x:v>
      </x:c>
      <x:c r="K26" s="43" t="n">
        <x:f>IF(G26="",I26,J26)</x:f>
        <x:v>75</x:v>
      </x:c>
      <x:c r="L26" s="43" t="str">
        <x:v>Precio recomendado</x:v>
      </x:c>
      <x:c r="M26" s="43" t="n">
        <x:f>K26-I26</x:f>
        <x:v>50</x:v>
      </x:c>
      <x:c r="N26" s="44" t="n">
        <x:f>IFERROR(M26/K26,0)</x:f>
        <x:v>0.6666666666666666</x:v>
      </x:c>
      <x:c r="O26" s="25" t="str">
        <x:v>https://www.olympia-lab.com/es/industries/</x:v>
      </x:c>
    </x:row>
    <x:row r="27" ht="28" customHeight="1">
      <x:c r="A27" s="25" t="n">
        <x:v>23</x:v>
      </x:c>
      <x:c r="B27" s="25" t="str">
        <x:v>Escultura</x:v>
      </x:c>
      <x:c r="C27" s="36" t="n">
        <x:v>0.1</x:v>
      </x:c>
      <x:c r="D27" s="36" t="n">
        <x:v>5</x:v>
      </x:c>
      <x:c r="E27" s="36" t="n">
        <x:v>25</x:v>
      </x:c>
      <x:c r="F27" s="36" t="n">
        <x:v>46331.625</x:v>
      </x:c>
      <x:c r="G27" s="36" t="n">
        <x:v>1.2</x:v>
      </x:c>
      <x:c r="H27" s="43" t="n">
        <x:f>D27*Equivalencias!$B$5</x:f>
        <x:v>250</x:v>
      </x:c>
      <x:c r="I27" s="43" t="n">
        <x:f>H27/E27</x:f>
        <x:v>10</x:v>
      </x:c>
      <x:c r="J27" s="43" t="n">
        <x:f>IF(G27="","",G27*Equivalencias!$B$6)</x:f>
        <x:v>30</x:v>
      </x:c>
      <x:c r="K27" s="43" t="n">
        <x:f>IF(G27="",I27,J27)</x:f>
        <x:v>30</x:v>
      </x:c>
      <x:c r="L27" s="43" t="str">
        <x:v>Precio recomendado</x:v>
      </x:c>
      <x:c r="M27" s="43" t="n">
        <x:f>K27-I27</x:f>
        <x:v>20</x:v>
      </x:c>
      <x:c r="N27" s="44" t="n">
        <x:f>IFERROR(M27/K27,0)</x:f>
        <x:v>0.6666666666666666</x:v>
      </x:c>
      <x:c r="O27" s="25" t="str">
        <x:v>https://www.olympia-lab.com/es/industries/</x:v>
      </x:c>
    </x:row>
    <x:row r="28" ht="28" customHeight="1">
      <x:c r="A28" s="25" t="n">
        <x:v>24</x:v>
      </x:c>
      <x:c r="B28" s="25" t="str">
        <x:v>Rueda de la felicidad</x:v>
      </x:c>
      <x:c r="C28" s="36" t="n">
        <x:v>0.1</x:v>
      </x:c>
      <x:c r="D28" s="36" t="n">
        <x:v>5</x:v>
      </x:c>
      <x:c r="E28" s="36" t="n">
        <x:v>25</x:v>
      </x:c>
      <x:c r="F28" s="36" t="n">
        <x:v>46331.625</x:v>
      </x:c>
      <x:c r="G28" s="36" t="n">
        <x:v>1.2</x:v>
      </x:c>
      <x:c r="H28" s="43" t="n">
        <x:f>D28*Equivalencias!$B$5</x:f>
        <x:v>250</x:v>
      </x:c>
      <x:c r="I28" s="43" t="n">
        <x:f>H28/E28</x:f>
        <x:v>10</x:v>
      </x:c>
      <x:c r="J28" s="43" t="n">
        <x:f>IF(G28="","",G28*Equivalencias!$B$6)</x:f>
        <x:v>30</x:v>
      </x:c>
      <x:c r="K28" s="43" t="n">
        <x:f>IF(G28="",I28,J28)</x:f>
        <x:v>30</x:v>
      </x:c>
      <x:c r="L28" s="43" t="str">
        <x:v>Precio recomendado</x:v>
      </x:c>
      <x:c r="M28" s="43" t="n">
        <x:f>K28-I28</x:f>
        <x:v>20</x:v>
      </x:c>
      <x:c r="N28" s="44" t="n">
        <x:f>IFERROR(M28/K28,0)</x:f>
        <x:v>0.6666666666666666</x:v>
      </x:c>
      <x:c r="O28" s="25" t="str">
        <x:v>https://www.olympia-lab.com/es/industries/</x:v>
      </x:c>
    </x:row>
    <x:row r="29" ht="28" customHeight="1">
      <x:c r="A29" s="25" t="n">
        <x:v>25</x:v>
      </x:c>
      <x:c r="B29" s="25" t="str">
        <x:v>Generador de pintura para terrenos</x:v>
      </x:c>
      <x:c r="C29" s="36" t="n">
        <x:v>0.1</x:v>
      </x:c>
      <x:c r="D29" s="36" t="n">
        <x:v>10</x:v>
      </x:c>
      <x:c r="E29" s="36" t="n">
        <x:v>20</x:v>
      </x:c>
      <x:c r="F29" s="36" t="n">
        <x:v>46331.625</x:v>
      </x:c>
      <x:c r="G29" s="36" t="n">
        <x:v>3</x:v>
      </x:c>
      <x:c r="H29" s="43" t="n">
        <x:f>D29*Equivalencias!$B$5</x:f>
        <x:v>500</x:v>
      </x:c>
      <x:c r="I29" s="43" t="n">
        <x:f>H29/E29</x:f>
        <x:v>25</x:v>
      </x:c>
      <x:c r="J29" s="43" t="n">
        <x:f>IF(G29="","",G29*Equivalencias!$B$6)</x:f>
        <x:v>75</x:v>
      </x:c>
      <x:c r="K29" s="43" t="n">
        <x:f>IF(G29="",I29,J29)</x:f>
        <x:v>75</x:v>
      </x:c>
      <x:c r="L29" s="43" t="str">
        <x:v>Precio recomendado</x:v>
      </x:c>
      <x:c r="M29" s="43" t="n">
        <x:f>K29-I29</x:f>
        <x:v>50</x:v>
      </x:c>
      <x:c r="N29" s="44" t="n">
        <x:f>IFERROR(M29/K29,0)</x:f>
        <x:v>0.6666666666666666</x:v>
      </x:c>
      <x:c r="O29" s="25" t="str">
        <x:v>https://www.olympia-lab.com/es/industries/</x:v>
      </x:c>
    </x:row>
    <x:row r="30" ht="28" customHeight="1">
      <x:c r="A30" s="25" t="n">
        <x:v>26</x:v>
      </x:c>
      <x:c r="B30" s="25" t="str">
        <x:v>Add New Coin</x:v>
      </x:c>
      <x:c r="C30" s="36" t="n">
        <x:v>0.04</x:v>
      </x:c>
      <x:c r="D30" s="36" t="n">
        <x:v>20</x:v>
      </x:c>
      <x:c r="E30" s="36" t="n">
        <x:v>5</x:v>
      </x:c>
      <x:c r="F30" s="36" t="n">
        <x:v>46331.625</x:v>
      </x:c>
      <x:c r="G30" s="36" t="n">
        <x:v>24</x:v>
      </x:c>
      <x:c r="H30" s="43" t="n">
        <x:f>D30*Equivalencias!$B$5</x:f>
        <x:v>1000</x:v>
      </x:c>
      <x:c r="I30" s="43" t="n">
        <x:f>H30/E30</x:f>
        <x:v>200</x:v>
      </x:c>
      <x:c r="J30" s="43" t="n">
        <x:f>IF(G30="","",G30*Equivalencias!$B$6)</x:f>
        <x:v>600</x:v>
      </x:c>
      <x:c r="K30" s="43" t="n">
        <x:f>IF(G30="",I30,J30)</x:f>
        <x:v>600</x:v>
      </x:c>
      <x:c r="L30" s="43" t="str">
        <x:v>Precio recomendado</x:v>
      </x:c>
      <x:c r="M30" s="43" t="n">
        <x:f>K30-I30</x:f>
        <x:v>400</x:v>
      </x:c>
      <x:c r="N30" s="44" t="n">
        <x:f>IFERROR(M30/K30,0)</x:f>
        <x:v>0.6666666666666666</x:v>
      </x:c>
      <x:c r="O30" s="25" t="str">
        <x:v>https://www.olympia-lab.com/es/industries/</x:v>
      </x:c>
    </x:row>
    <x:row r="31" ht="28" customHeight="1">
      <x:c r="A31" s="25" t="n">
        <x:v>27</x:v>
      </x:c>
      <x:c r="B31" s="25" t="str">
        <x:v>Green Orbs Fusion</x:v>
      </x:c>
      <x:c r="C31" s="36" t="n">
        <x:v>0.05</x:v>
      </x:c>
      <x:c r="D31" s="36" t="n">
        <x:v>10</x:v>
      </x:c>
      <x:c r="E31" s="36" t="n">
        <x:v>10</x:v>
      </x:c>
      <x:c r="F31" s="36" t="n">
        <x:v>46331.625</x:v>
      </x:c>
      <x:c r="G31" s="36" t="n">
        <x:v>6</x:v>
      </x:c>
      <x:c r="H31" s="43" t="n">
        <x:f>D31*Equivalencias!$B$5</x:f>
        <x:v>500</x:v>
      </x:c>
      <x:c r="I31" s="43" t="n">
        <x:f>H31/E31</x:f>
        <x:v>50</x:v>
      </x:c>
      <x:c r="J31" s="43" t="n">
        <x:f>IF(G31="","",G31*Equivalencias!$B$6)</x:f>
        <x:v>150</x:v>
      </x:c>
      <x:c r="K31" s="43" t="n">
        <x:f>IF(G31="",I31,J31)</x:f>
        <x:v>150</x:v>
      </x:c>
      <x:c r="L31" s="43" t="str">
        <x:v>Precio recomendado</x:v>
      </x:c>
      <x:c r="M31" s="43" t="n">
        <x:f>K31-I31</x:f>
        <x:v>100</x:v>
      </x:c>
      <x:c r="N31" s="44" t="n">
        <x:f>IFERROR(M31/K31,0)</x:f>
        <x:v>0.6666666666666666</x:v>
      </x:c>
      <x:c r="O31" s="25" t="str">
        <x:v>https://www.olympia-lab.com/es/industries/</x:v>
      </x:c>
    </x:row>
    <x:row r="32" ht="28" customHeight="1">
      <x:c r="A32" s="25" t="n">
        <x:v>28</x:v>
      </x:c>
      <x:c r="B32" s="25" t="str">
        <x:v>Red Orbs Fusion</x:v>
      </x:c>
      <x:c r="C32" s="36" t="n">
        <x:v>0.05</x:v>
      </x:c>
      <x:c r="D32" s="36" t="n">
        <x:v>10</x:v>
      </x:c>
      <x:c r="E32" s="36" t="n">
        <x:v>5</x:v>
      </x:c>
      <x:c r="F32" s="36" t="n">
        <x:v>46331.625</x:v>
      </x:c>
      <x:c r="G32" s="36" t="n">
        <x:v>12</x:v>
      </x:c>
      <x:c r="H32" s="43" t="n">
        <x:f>D32*Equivalencias!$B$5</x:f>
        <x:v>500</x:v>
      </x:c>
      <x:c r="I32" s="43" t="n">
        <x:f>H32/E32</x:f>
        <x:v>100</x:v>
      </x:c>
      <x:c r="J32" s="43" t="n">
        <x:f>IF(G32="","",G32*Equivalencias!$B$6)</x:f>
        <x:v>300</x:v>
      </x:c>
      <x:c r="K32" s="43" t="n">
        <x:f>IF(G32="",I32,J32)</x:f>
        <x:v>300</x:v>
      </x:c>
      <x:c r="L32" s="43" t="str">
        <x:v>Precio recomendado</x:v>
      </x:c>
      <x:c r="M32" s="43" t="n">
        <x:f>K32-I32</x:f>
        <x:v>200</x:v>
      </x:c>
      <x:c r="N32" s="44" t="n">
        <x:f>IFERROR(M32/K32,0)</x:f>
        <x:v>0.6666666666666666</x:v>
      </x:c>
      <x:c r="O32" s="25" t="str">
        <x:v>https://www.olympia-lab.com/es/industries/</x:v>
      </x:c>
    </x:row>
    <x:row r="33" ht="28" customHeight="1">
      <x:c r="A33" s="25" t="n">
        <x:v>29</x:v>
      </x:c>
      <x:c r="B33" s="25" t="str">
        <x:v>Blue Time Compression 2X</x:v>
      </x:c>
      <x:c r="C33" s="36" t="n">
        <x:v>0.04</x:v>
      </x:c>
      <x:c r="D33" s="36" t="n">
        <x:v>20</x:v>
      </x:c>
      <x:c r="E33" s="36" t="n">
        <x:v>20</x:v>
      </x:c>
      <x:c r="F33" s="36" t="n">
        <x:v>46331.625</x:v>
      </x:c>
      <x:c r="G33" s="36" t="n">
        <x:v>6</x:v>
      </x:c>
      <x:c r="H33" s="43" t="n">
        <x:f>D33*Equivalencias!$B$5</x:f>
        <x:v>1000</x:v>
      </x:c>
      <x:c r="I33" s="43" t="n">
        <x:f>H33/E33</x:f>
        <x:v>50</x:v>
      </x:c>
      <x:c r="J33" s="43" t="n">
        <x:f>IF(G33="","",G33*Equivalencias!$B$6)</x:f>
        <x:v>150</x:v>
      </x:c>
      <x:c r="K33" s="43" t="n">
        <x:f>IF(G33="",I33,J33)</x:f>
        <x:v>150</x:v>
      </x:c>
      <x:c r="L33" s="43" t="str">
        <x:v>Precio recomendado</x:v>
      </x:c>
      <x:c r="M33" s="43" t="n">
        <x:f>K33-I33</x:f>
        <x:v>100</x:v>
      </x:c>
      <x:c r="N33" s="44" t="n">
        <x:f>IFERROR(M33/K33,0)</x:f>
        <x:v>0.6666666666666666</x:v>
      </x:c>
      <x:c r="O33" s="25" t="str">
        <x:v>https://www.olympia-lab.com/es/industries/</x:v>
      </x:c>
    </x:row>
    <x:row r="34" ht="28" customHeight="1">
      <x:c r="A34" s="25" t="n">
        <x:v>30</x:v>
      </x:c>
      <x:c r="B34" s="25" t="str">
        <x:v>Green Time Compression 2X</x:v>
      </x:c>
      <x:c r="C34" s="36" t="n">
        <x:v>0.04</x:v>
      </x:c>
      <x:c r="D34" s="36" t="n">
        <x:v>20</x:v>
      </x:c>
      <x:c r="E34" s="36" t="n">
        <x:v>10</x:v>
      </x:c>
      <x:c r="F34" s="36" t="n">
        <x:v>46331.625</x:v>
      </x:c>
      <x:c r="G34" s="36" t="n">
        <x:v>12</x:v>
      </x:c>
      <x:c r="H34" s="43" t="n">
        <x:f>D34*Equivalencias!$B$5</x:f>
        <x:v>1000</x:v>
      </x:c>
      <x:c r="I34" s="43" t="n">
        <x:f>H34/E34</x:f>
        <x:v>100</x:v>
      </x:c>
      <x:c r="J34" s="43" t="n">
        <x:f>IF(G34="","",G34*Equivalencias!$B$6)</x:f>
        <x:v>300</x:v>
      </x:c>
      <x:c r="K34" s="43" t="n">
        <x:f>IF(G34="",I34,J34)</x:f>
        <x:v>300</x:v>
      </x:c>
      <x:c r="L34" s="43" t="str">
        <x:v>Precio recomendado</x:v>
      </x:c>
      <x:c r="M34" s="43" t="n">
        <x:f>K34-I34</x:f>
        <x:v>200</x:v>
      </x:c>
      <x:c r="N34" s="44" t="n">
        <x:f>IFERROR(M34/K34,0)</x:f>
        <x:v>0.6666666666666666</x:v>
      </x:c>
      <x:c r="O34" s="25" t="str">
        <x:v>https://www.olympia-lab.com/es/industries/</x:v>
      </x:c>
    </x:row>
    <x:row r="35" ht="28" customHeight="1">
      <x:c r="A35" s="26" t="n">
        <x:v>31</x:v>
      </x:c>
      <x:c r="B35" s="26" t="str">
        <x:v>Red Time Compression 2X</x:v>
      </x:c>
      <x:c r="C35" s="37" t="n">
        <x:v>0.04</x:v>
      </x:c>
      <x:c r="D35" s="37" t="n">
        <x:v>20</x:v>
      </x:c>
      <x:c r="E35" s="37" t="n">
        <x:v>5</x:v>
      </x:c>
      <x:c r="F35" s="37" t="n">
        <x:v>46331.625</x:v>
      </x:c>
      <x:c r="G35" s="37" t="n">
        <x:v>24</x:v>
      </x:c>
      <x:c r="H35" s="45" t="n">
        <x:f>D35*Equivalencias!$B$5</x:f>
        <x:v>1000</x:v>
      </x:c>
      <x:c r="I35" s="45" t="n">
        <x:f>H35/E35</x:f>
        <x:v>200</x:v>
      </x:c>
      <x:c r="J35" s="45" t="n">
        <x:f>IF(G35="","",G35*Equivalencias!$B$6)</x:f>
        <x:v>600</x:v>
      </x:c>
      <x:c r="K35" s="45" t="n">
        <x:f>IF(G35="",I35,J35)</x:f>
        <x:v>600</x:v>
      </x:c>
      <x:c r="L35" s="45" t="str">
        <x:v>Precio recomendado</x:v>
      </x:c>
      <x:c r="M35" s="45" t="n">
        <x:f>K35-I35</x:f>
        <x:v>400</x:v>
      </x:c>
      <x:c r="N35" s="46" t="n">
        <x:f>IFERROR(M35/K35,0)</x:f>
        <x:v>0.6666666666666666</x:v>
      </x:c>
      <x:c r="O35" s="26" t="str">
        <x:v>https://www.olympia-lab.com/es/industries/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c30f1caa512428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64" hidden="0" customWidth="1"/>
    <x:col min="3" max="3" width="64" hidden="0" customWidth="1"/>
    <x:col min="4" max="4" width="22" hidden="0" customWidth="1"/>
    <x:col min="5" max="5" width="22" hidden="0" customWidth="1"/>
    <x:col min="6" max="6" width="28" hidden="0" customWidth="1"/>
    <x:col min="7" max="7" width="48" hidden="0" customWidth="1"/>
  </x:cols>
  <x:sheetData>
    <x:row r="1" ht="34" customHeight="1">
      <x:c r="A1" s="3" t="str">
        <x:v>Equivalencias y referencias</x:v>
      </x:c>
      <x:c r="B1" s="3" t="str">
        <x:v>Equivalencias y referencias</x:v>
      </x:c>
      <x:c r="C1" s="3" t="str">
        <x:v>Equivalencias y referencias</x:v>
      </x:c>
      <x:c r="D1" s="3" t="str">
        <x:v>Equivalencias y referencias</x:v>
      </x:c>
      <x:c r="E1" s="3" t="str">
        <x:v>Equivalencias y referencias</x:v>
      </x:c>
      <x:c r="F1" s="3" t="str">
        <x:v>Equivalencias y referencias</x:v>
      </x:c>
      <x:c r="G1" s="3" t="str">
        <x:v>Equivalencias y referencias</x:v>
      </x:c>
    </x:row>
    <x:row r="2" ht="24" customHeight="1">
      <x:c r="A2" s="6" t="str">
        <x:v>Solo HMAP y REEX son valores canonicos. El resto conserva el nivel de validacion de su fuente.</x:v>
      </x:c>
      <x:c r="B2" s="6" t="str">
        <x:v>Solo HMAP y REEX son valores canonicos. El resto conserva el nivel de validacion de su fuente.</x:v>
      </x:c>
      <x:c r="C2" s="6" t="str">
        <x:v>Solo HMAP y REEX son valores canonicos. El resto conserva el nivel de validacion de su fuente.</x:v>
      </x:c>
      <x:c r="D2" s="6" t="str">
        <x:v>Solo HMAP y REEX son valores canonicos. El resto conserva el nivel de validacion de su fuente.</x:v>
      </x:c>
      <x:c r="E2" s="6" t="str">
        <x:v>Solo HMAP y REEX son valores canonicos. El resto conserva el nivel de validacion de su fuente.</x:v>
      </x:c>
      <x:c r="F2" s="6" t="str">
        <x:v>Solo HMAP y REEX son valores canonicos. El resto conserva el nivel de validacion de su fuente.</x:v>
      </x:c>
      <x:c r="G2" s="6" t="str">
        <x:v>Solo HMAP y REEX son valores canonicos. El resto conserva el nivel de validacion de su fuente.</x:v>
      </x:c>
    </x:row>
    <x:row r="4" ht="30" customHeight="1">
      <x:c r="A4" s="14" t="str">
        <x:v>Moneda / activo</x:v>
      </x:c>
      <x:c r="B4" s="15" t="str">
        <x:v>Valor</x:v>
      </x:c>
      <x:c r="C4" s="15" t="str">
        <x:v>Unidad</x:v>
      </x:c>
      <x:c r="D4" s="15" t="str">
        <x:v>Tipo</x:v>
      </x:c>
      <x:c r="E4" s="15" t="str">
        <x:v>Estado</x:v>
      </x:c>
      <x:c r="F4" s="15" t="str">
        <x:v>Fuente</x:v>
      </x:c>
      <x:c r="G4" s="16" t="str">
        <x:v>Observacion</x:v>
      </x:c>
    </x:row>
    <x:row r="5" ht="28" customHeight="1">
      <x:c r="A5" s="24" t="str">
        <x:v>HMAP</x:v>
      </x:c>
      <x:c r="B5" s="30" t="n">
        <x:v>50</x:v>
      </x:c>
      <x:c r="C5" s="24" t="str">
        <x:v>EUR</x:v>
      </x:c>
      <x:c r="D5" s="24" t="str">
        <x:v>Equivalencia canonica</x:v>
      </x:c>
      <x:c r="E5" s="24" t="str">
        <x:v>Vigente</x:v>
      </x:c>
      <x:c r="F5" s="24" t="str">
        <x:v>Base LOI_AI</x:v>
      </x:c>
      <x:c r="G5" s="24" t="str">
        <x:v>Valor estable confirmado para calculos internos</x:v>
      </x:c>
    </x:row>
    <x:row r="6" ht="28" customHeight="1">
      <x:c r="A6" s="25" t="str">
        <x:v>REEX</x:v>
      </x:c>
      <x:c r="B6" s="31" t="n">
        <x:v>25</x:v>
      </x:c>
      <x:c r="C6" s="25" t="str">
        <x:v>EUR</x:v>
      </x:c>
      <x:c r="D6" s="25" t="str">
        <x:v>Equivalencia canonica</x:v>
      </x:c>
      <x:c r="E6" s="25" t="str">
        <x:v>Vigente</x:v>
      </x:c>
      <x:c r="F6" s="25" t="str">
        <x:v>Base LOI_AI</x:v>
      </x:c>
      <x:c r="G6" s="25" t="str">
        <x:v>Valor estable confirmado para calculos internos</x:v>
      </x:c>
    </x:row>
    <x:row r="7" ht="28" customHeight="1">
      <x:c r="A7" s="25" t="str">
        <x:v>HEXA</x:v>
      </x:c>
      <x:c r="B7" s="28" t="n">
        <x:v>2.5</x:v>
      </x:c>
      <x:c r="C7" s="25" t="str">
        <x:v>EUR</x:v>
      </x:c>
      <x:c r="D7" s="25" t="str">
        <x:v>Referencia aportada</x:v>
      </x:c>
      <x:c r="E7" s="25" t="str">
        <x:v>No canonica</x:v>
      </x:c>
      <x:c r="F7" s="25" t="str">
        <x:v>Lista de Tokens - Meta EDU</x:v>
      </x:c>
      <x:c r="G7" s="25" t="str">
        <x:v>Usada solo para derivaciones marcadas como referencia</x:v>
      </x:c>
    </x:row>
    <x:row r="8" ht="28" customHeight="1">
      <x:c r="A8" s="25" t="str">
        <x:v>GAME GOS</x:v>
      </x:c>
      <x:c r="B8" s="28" t="n">
        <x:v>50</x:v>
      </x:c>
      <x:c r="C8" s="25" t="str">
        <x:v>EUR</x:v>
      </x:c>
      <x:c r="D8" s="25" t="str">
        <x:v>Referencia aportada</x:v>
      </x:c>
      <x:c r="E8" s="25" t="str">
        <x:v>No canonica</x:v>
      </x:c>
      <x:c r="F8" s="25" t="str">
        <x:v>Lista de Tokens - Meta EDU</x:v>
      </x:c>
      <x:c r="G8" s="25" t="str">
        <x:v>No confundir automaticamente con GOS</x:v>
      </x:c>
    </x:row>
    <x:row r="9" ht="28" customHeight="1">
      <x:c r="A9" s="25" t="str">
        <x:v>GOS</x:v>
      </x:c>
      <x:c r="B9" s="28" t="n">
        <x:v>60</x:v>
      </x:c>
      <x:c r="C9" s="25" t="str">
        <x:v>EUR</x:v>
      </x:c>
      <x:c r="D9" s="25" t="str">
        <x:v>Referencia aportada</x:v>
      </x:c>
      <x:c r="E9" s="25" t="str">
        <x:v>No canonica</x:v>
      </x:c>
      <x:c r="F9" s="25" t="str">
        <x:v>Lista de Tokens - Meta EDU</x:v>
      </x:c>
      <x:c r="G9" s="25" t="str">
        <x:v>Nomenclatura distinta de GAME GOS; requiere validacion</x:v>
      </x:c>
    </x:row>
    <x:row r="10" ht="28" customHeight="1">
      <x:c r="A10" s="25" t="str">
        <x:v>GICO</x:v>
      </x:c>
      <x:c r="B10" s="28" t="n">
        <x:v>86.5</x:v>
      </x:c>
      <x:c r="C10" s="25" t="str">
        <x:v>EUR</x:v>
      </x:c>
      <x:c r="D10" s="25" t="str">
        <x:v>Referencia aportada</x:v>
      </x:c>
      <x:c r="E10" s="25" t="str">
        <x:v>No canonica</x:v>
      </x:c>
      <x:c r="F10" s="25" t="str">
        <x:v>Lista de Tokens - Meta EDU</x:v>
      </x:c>
      <x:c r="G10" s="25" t="str">
        <x:v>La base documental no registra equivalencia fija canonica</x:v>
      </x:c>
    </x:row>
    <x:row r="11" ht="28" customHeight="1">
      <x:c r="A11" s="25" t="str">
        <x:v>INT</x:v>
      </x:c>
      <x:c r="B11" s="28" t="n">
        <x:v>85.5</x:v>
      </x:c>
      <x:c r="C11" s="25" t="str">
        <x:v>EUR</x:v>
      </x:c>
      <x:c r="D11" s="25" t="str">
        <x:v>Referencia aportada</x:v>
      </x:c>
      <x:c r="E11" s="25" t="str">
        <x:v>Dinamica / validar</x:v>
      </x:c>
      <x:c r="F11" s="25" t="str">
        <x:v>Lista de Tokens - Meta EDU</x:v>
      </x:c>
      <x:c r="G11" s="25" t="str">
        <x:v>InteraSwap documenta precio dinamico, no fijo</x:v>
      </x:c>
    </x:row>
    <x:row r="12" ht="28" customHeight="1">
      <x:c r="A12" s="25" t="str">
        <x:v>DOMINION</x:v>
      </x:c>
      <x:c r="B12" s="28"/>
      <x:c r="C12" s="25" t="str">
        <x:v>EUR</x:v>
      </x:c>
      <x:c r="D12" s="25" t="str">
        <x:v>Referencia en conflicto</x:v>
      </x:c>
      <x:c r="E12" s="25" t="str">
        <x:v>No usar sin validar</x:v>
      </x:c>
      <x:c r="F12" s="25" t="str">
        <x:v>Lista de Tokens - Meta EDU</x:v>
      </x:c>
      <x:c r="G12" s="25" t="str">
        <x:v>Hoja 1: EUR 60; hoja MOG: EUR 50; InteraSwap es dinamico</x:v>
      </x:c>
    </x:row>
    <x:row r="13" ht="28" customHeight="1">
      <x:c r="A13" s="25" t="str">
        <x:v>NETS</x:v>
      </x:c>
      <x:c r="B13" s="28" t="n">
        <x:v>6</x:v>
      </x:c>
      <x:c r="C13" s="25" t="str">
        <x:v>EUR</x:v>
      </x:c>
      <x:c r="D13" s="25" t="str">
        <x:v>Referencia aportada</x:v>
      </x:c>
      <x:c r="E13" s="25" t="str">
        <x:v>No canonica</x:v>
      </x:c>
      <x:c r="F13" s="25" t="str">
        <x:v>Lista de Tokens - Meta EDU</x:v>
      </x:c>
      <x:c r="G13" s="25" t="str">
        <x:v>Precio de referencia aportado</x:v>
      </x:c>
    </x:row>
    <x:row r="14" ht="28" customHeight="1">
      <x:c r="A14" s="25" t="str">
        <x:v>WNETS</x:v>
      </x:c>
      <x:c r="B14" s="28" t="n">
        <x:v>6</x:v>
      </x:c>
      <x:c r="C14" s="25" t="str">
        <x:v>EUR</x:v>
      </x:c>
      <x:c r="D14" s="25" t="str">
        <x:v>Referencia aportada</x:v>
      </x:c>
      <x:c r="E14" s="25" t="str">
        <x:v>No canonica</x:v>
      </x:c>
      <x:c r="F14" s="25" t="str">
        <x:v>Lista de Tokens - Meta EDU</x:v>
      </x:c>
      <x:c r="G14" s="25" t="str">
        <x:v>Precio de referencia aportado</x:v>
      </x:c>
    </x:row>
    <x:row r="15" ht="28" customHeight="1">
      <x:c r="A15" s="25" t="str">
        <x:v>ANTALLAGI</x:v>
      </x:c>
      <x:c r="B15" s="28" t="n">
        <x:v>1</x:v>
      </x:c>
      <x:c r="C15" s="25" t="str">
        <x:v>EUR</x:v>
      </x:c>
      <x:c r="D15" s="25" t="str">
        <x:v>Referencia aportada</x:v>
      </x:c>
      <x:c r="E15" s="25" t="str">
        <x:v>Revisar</x:v>
      </x:c>
      <x:c r="F15" s="25" t="str">
        <x:v>Lista de Tokens - Meta EDU</x:v>
      </x:c>
      <x:c r="G15" s="25" t="str">
        <x:v>La observacion de la fuente indica EUR 0,80 promedio</x:v>
      </x:c>
    </x:row>
    <x:row r="16" ht="28" customHeight="1">
      <x:c r="A16" s="26" t="str">
        <x:v>CBR</x:v>
      </x:c>
      <x:c r="B16" s="29" t="n">
        <x:v>60</x:v>
      </x:c>
      <x:c r="C16" s="26" t="str">
        <x:v>EUR</x:v>
      </x:c>
      <x:c r="D16" s="26" t="str">
        <x:v>Referencia aportada</x:v>
      </x:c>
      <x:c r="E16" s="26" t="str">
        <x:v>No canonica</x:v>
      </x:c>
      <x:c r="F16" s="26" t="str">
        <x:v>Lista de Tokens - Meta EDU</x:v>
      </x:c>
      <x:c r="G16" s="26" t="str">
        <x:v>Precio de referencia aportado</x:v>
      </x:c>
    </x:row>
  </x:sheetData>
  <x:mergeCells>
    <x:mergeCell ref="A1:G1"/>
    <x:mergeCell ref="A2:G2"/>
  </x:mergeCells>
  <x:pageMargins left="0.7" right="0.7" top="0.75" bottom="0.75" header="0.3" footer="0.3"/>
  <x:legacyDrawing xmlns:r="http://schemas.openxmlformats.org/officeDocument/2006/relationships" r:id="R0c9c8ad52eb04804"/>
  <x:tableParts count="1">
    <x:tablePart xmlns:r="http://schemas.openxmlformats.org/officeDocument/2006/relationships" r:id="R882f0358ffdb4a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8.12999725341797" hidden="0" customWidth="1"/>
    <x:col min="2" max="2" width="22" hidden="0" customWidth="1"/>
    <x:col min="3" max="3" width="50" hidden="0" customWidth="1"/>
    <x:col min="4" max="4" width="50" hidden="0" customWidth="1"/>
    <x:col min="5" max="5" width="50" hidden="0" customWidth="1"/>
    <x:col min="6" max="6" width="14" hidden="0" customWidth="1"/>
  </x:cols>
  <x:sheetData>
    <x:row r="1" ht="34" customHeight="1">
      <x:c r="A1" s="3" t="str">
        <x:v>Conflictos y pendientes</x:v>
      </x:c>
      <x:c r="B1" s="3" t="str">
        <x:v>Conflictos y pendientes</x:v>
      </x:c>
      <x:c r="C1" s="3" t="str">
        <x:v>Conflictos y pendientes</x:v>
      </x:c>
      <x:c r="D1" s="3" t="str">
        <x:v>Conflictos y pendientes</x:v>
      </x:c>
      <x:c r="E1" s="3" t="str">
        <x:v>Conflictos y pendientes</x:v>
      </x:c>
      <x:c r="F1" s="3" t="str">
        <x:v>Conflictos y pendientes</x:v>
      </x:c>
    </x:row>
    <x:row r="2" ht="24" customHeight="1">
      <x:c r="A2" s="6" t="str">
        <x:v>Estos registros no deben convertirse en precios canonicos hasta que exista una fuente que resuelva la discrepancia.</x:v>
      </x:c>
      <x:c r="B2" s="6" t="str">
        <x:v>Estos registros no deben convertirse en precios canonicos hasta que exista una fuente que resuelva la discrepancia.</x:v>
      </x:c>
      <x:c r="C2" s="6" t="str">
        <x:v>Estos registros no deben convertirse en precios canonicos hasta que exista una fuente que resuelva la discrepancia.</x:v>
      </x:c>
      <x:c r="D2" s="6" t="str">
        <x:v>Estos registros no deben convertirse en precios canonicos hasta que exista una fuente que resuelva la discrepancia.</x:v>
      </x:c>
      <x:c r="E2" s="6" t="str">
        <x:v>Estos registros no deben convertirse en precios canonicos hasta que exista una fuente que resuelva la discrepancia.</x:v>
      </x:c>
      <x:c r="F2" s="6" t="str">
        <x:v>Estos registros no deben convertirse en precios canonicos hasta que exista una fuente que resuelva la discrepancia.</x:v>
      </x:c>
    </x:row>
    <x:row r="4" ht="30" customHeight="1">
      <x:c r="A4" s="14" t="str">
        <x:v>ID</x:v>
      </x:c>
      <x:c r="B4" s="15" t="str">
        <x:v>Elemento</x:v>
      </x:c>
      <x:c r="C4" s="15" t="str">
        <x:v>Hallazgo</x:v>
      </x:c>
      <x:c r="D4" s="15" t="str">
        <x:v>Impacto</x:v>
      </x:c>
      <x:c r="E4" s="15" t="str">
        <x:v>Accion recomendada</x:v>
      </x:c>
      <x:c r="F4" s="16" t="str">
        <x:v>Estado</x:v>
      </x:c>
    </x:row>
    <x:row r="5" ht="46" customHeight="1">
      <x:c r="A5" s="24" t="str">
        <x:v>C01</x:v>
      </x:c>
      <x:c r="B5" s="24" t="str">
        <x:v>DOMINION</x:v>
      </x:c>
      <x:c r="C5" s="24" t="str">
        <x:v>EUR 60 en Hoja 1 frente a EUR 50 en MOG; InteraSwap lo define como dinamico.</x:v>
      </x:c>
      <x:c r="D5" s="24" t="str">
        <x:v>No existe un precio EUR unico utilizable.</x:v>
      </x:c>
      <x:c r="E5" s="24" t="str">
        <x:v>Capturar snapshot actual de InteraSwap y confirmar criterio empresarial.</x:v>
      </x:c>
      <x:c r="F5" s="53" t="str">
        <x:v>Abierto</x:v>
      </x:c>
    </x:row>
    <x:row r="6" ht="46" customHeight="1">
      <x:c r="A6" s="25" t="str">
        <x:v>C02</x:v>
      </x:c>
      <x:c r="B6" s="25" t="str">
        <x:v>Shard Setter 90D</x:v>
      </x:c>
      <x:c r="C6" s="25" t="str">
        <x:v>EUR 210 en Hoja 1 frente a 3 DOMINION en MOG.</x:v>
      </x:c>
      <x:c r="D6" s="25" t="str">
        <x:v>No concilia con DOMINION a EUR 50 ni EUR 60.</x:v>
      </x:c>
      <x:c r="E6" s="25" t="str">
        <x:v>Confirmar tarifa vigente en Oficina MOG.</x:v>
      </x:c>
      <x:c r="F6" s="54" t="str">
        <x:v>Abierto</x:v>
      </x:c>
    </x:row>
    <x:row r="7" ht="46" customHeight="1">
      <x:c r="A7" s="25" t="str">
        <x:v>C03</x:v>
      </x:c>
      <x:c r="B7" s="25" t="str">
        <x:v>Antallagi</x:v>
      </x:c>
      <x:c r="C7" s="25" t="str">
        <x:v>Valor principal EUR 1; observacion: EUR 0,80 promedio.</x:v>
      </x:c>
      <x:c r="D7" s="25" t="str">
        <x:v>La referencia depende del criterio usado.</x:v>
      </x:c>
      <x:c r="E7" s="25" t="str">
        <x:v>Registrar fecha y mecanismo de cada cotizacion.</x:v>
      </x:c>
      <x:c r="F7" s="54" t="str">
        <x:v>Abierto</x:v>
      </x:c>
    </x:row>
    <x:row r="8" ht="46" customHeight="1">
      <x:c r="A8" s="25" t="str">
        <x:v>C04</x:v>
      </x:c>
      <x:c r="B8" s="25" t="str">
        <x:v>Hexatile</x:v>
      </x:c>
      <x:c r="C8" s="25" t="str">
        <x:v>Sin valor en Hoja 1; MOG indica 2,75 HEXA.</x:v>
      </x:c>
      <x:c r="D8" s="25" t="str">
        <x:v>EUR 6,88 es solo una derivacion con HEXA a EUR 2,50.</x:v>
      </x:c>
      <x:c r="E8" s="25" t="str">
        <x:v>Verificar precio vigente y si 2,75 HEXA sigue aplicando.</x:v>
      </x:c>
      <x:c r="F8" s="54" t="str">
        <x:v>Abierto</x:v>
      </x:c>
    </x:row>
    <x:row r="9" ht="46" customHeight="1">
      <x:c r="A9" s="25" t="str">
        <x:v>C05</x:v>
      </x:c>
      <x:c r="B9" s="25" t="str">
        <x:v>INT</x:v>
      </x:c>
      <x:c r="C9" s="25" t="str">
        <x:v>La lista aporta EUR 85,50, pero InteraSwap documenta precio dinamico.</x:v>
      </x:c>
      <x:c r="D9" s="25" t="str">
        <x:v>No debe presentarse como equivalencia estable ni precio actual.</x:v>
      </x:c>
      <x:c r="E9" s="25" t="str">
        <x:v>Conservar como referencia fechada y agregar snapshots periodicos.</x:v>
      </x:c>
      <x:c r="F9" s="54" t="str">
        <x:v>Abierto</x:v>
      </x:c>
    </x:row>
    <x:row r="10" ht="46" customHeight="1">
      <x:c r="A10" s="25" t="str">
        <x:v>C06</x:v>
      </x:c>
      <x:c r="B10" s="25" t="str">
        <x:v>PreFactory</x:v>
      </x:c>
      <x:c r="C10" s="25" t="str">
        <x:v>EUR 150 aparece como valor y tambien como comision de transferencia.</x:v>
      </x:c>
      <x:c r="D10" s="25" t="str">
        <x:v>Puede confundirse el precio del activo con un fee.</x:v>
      </x:c>
      <x:c r="E10" s="25" t="str">
        <x:v>Separar costo de compra, fee de transferencia y costo de conversion.</x:v>
      </x:c>
      <x:c r="F10" s="54" t="str">
        <x:v>Abierto</x:v>
      </x:c>
    </x:row>
    <x:row r="11" ht="46" customHeight="1">
      <x:c r="A11" s="25" t="str">
        <x:v>C07</x:v>
      </x:c>
      <x:c r="B11" s="25" t="str">
        <x:v>1 GM</x:v>
      </x:c>
      <x:c r="C11" s="25" t="str">
        <x:v>Sin valor confirmado; se menciona posible equivalencia 1 REEX en TAC.</x:v>
      </x:c>
      <x:c r="D11" s="25" t="str">
        <x:v>EUR 25 es una hipotesis no confirmada.</x:v>
      </x:c>
      <x:c r="E11" s="25" t="str">
        <x:v>Obtener regla oficial de TAC y transferibilidad.</x:v>
      </x:c>
      <x:c r="F11" s="54" t="str">
        <x:v>Abierto</x:v>
      </x:c>
    </x:row>
    <x:row r="12" ht="46" customHeight="1">
      <x:c r="A12" s="25" t="str">
        <x:v>C08</x:v>
      </x:c>
      <x:c r="B12" s="25" t="str">
        <x:v>REEX Miner</x:v>
      </x:c>
      <x:c r="C12" s="25" t="str">
        <x:v>Sin precio; la nota indica que produce hasta 3 REEX.</x:v>
      </x:c>
      <x:c r="D12" s="25" t="str">
        <x:v>Menos de EUR 75 es un techo teorico, no precio.</x:v>
      </x:c>
      <x:c r="E12" s="25" t="str">
        <x:v>Documentar costo de activacion, vida util y precio real de venta.</x:v>
      </x:c>
      <x:c r="F12" s="54" t="str">
        <x:v>Abierto</x:v>
      </x:c>
    </x:row>
    <x:row r="13" ht="46" customHeight="1">
      <x:c r="A13" s="25" t="str">
        <x:v>C09</x:v>
      </x:c>
      <x:c r="B13" s="25" t="str">
        <x:v>GOS / GAME GOS</x:v>
      </x:c>
      <x:c r="C13" s="25" t="str">
        <x:v>La fuente registra GAME GOS a EUR 50 y GOS a EUR 60.</x:v>
      </x:c>
      <x:c r="D13" s="25" t="str">
        <x:v>Puede tratarse de activos distintos o nomenclatura inconsistente.</x:v>
      </x:c>
      <x:c r="E13" s="25" t="str">
        <x:v>Confirmar simbolos, contratos y usos de cada activo.</x:v>
      </x:c>
      <x:c r="F13" s="54" t="str">
        <x:v>Abierto</x:v>
      </x:c>
    </x:row>
    <x:row r="14" ht="46" customHeight="1">
      <x:c r="A14" s="26" t="str">
        <x:v>C10</x:v>
      </x:c>
      <x:c r="B14" s="26" t="str">
        <x:v>GICO</x:v>
      </x:c>
      <x:c r="C14" s="26" t="str">
        <x:v>Referencia aportada de EUR 86,50 sin equivalencia canonica en la base.</x:v>
      </x:c>
      <x:c r="D14" s="26" t="str">
        <x:v>No debe usarse como valor estable sin fuente y fecha.</x:v>
      </x:c>
      <x:c r="E14" s="26" t="str">
        <x:v>Documentar mecanismo de formacion de precio.</x:v>
      </x:c>
      <x:c r="F14" s="55" t="str">
        <x:v>Abierto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d37eaf6d2cd34a21"/>
  <x:tableParts count="1">
    <x:tablePart xmlns:r="http://schemas.openxmlformats.org/officeDocument/2006/relationships" r:id="Rb6067219c4e44fa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61.75" hidden="0" customWidth="1"/>
    <x:col min="2" max="2" width="61.75" hidden="0" customWidth="1"/>
    <x:col min="3" max="3" width="34" hidden="0" customWidth="1"/>
    <x:col min="4" max="4" width="61.75" hidden="0" customWidth="1"/>
    <x:col min="5" max="5" width="61.75" hidden="0" customWidth="1"/>
    <x:col min="6" max="6" width="58" hidden="0" customWidth="1"/>
    <x:col min="7" max="7" width="48" hidden="0" customWidth="1"/>
    <x:col min="8" max="8" width="34" hidden="0" customWidth="1"/>
  </x:cols>
  <x:sheetData>
    <x:row r="1" ht="34" customHeight="1">
      <x:c r="A1" s="3" t="str">
        <x:v>Fuente original normalizada</x:v>
      </x:c>
      <x:c r="B1" s="3" t="str">
        <x:v>Fuente original normalizada</x:v>
      </x:c>
      <x:c r="C1" s="3" t="str">
        <x:v>Fuente original normalizada</x:v>
      </x:c>
      <x:c r="D1" s="3" t="str">
        <x:v>Fuente original normalizada</x:v>
      </x:c>
      <x:c r="E1" s="3" t="str">
        <x:v>Fuente original normalizada</x:v>
      </x:c>
      <x:c r="F1" s="3" t="str">
        <x:v>Fuente original normalizada</x:v>
      </x:c>
      <x:c r="G1" s="3" t="str">
        <x:v>Fuente original normalizada</x:v>
      </x:c>
      <x:c r="H1" s="3" t="str">
        <x:v>Fuente original normalizada</x:v>
      </x:c>
    </x:row>
    <x:row r="2" ht="24" customHeight="1">
      <x:c r="A2" s="6" t="str">
        <x:v>Transcripcion completa del Excel aportado. No se corrigen ni eliminan valores en esta hoja.</x:v>
      </x:c>
      <x:c r="B2" s="6" t="str">
        <x:v>Transcripcion completa del Excel aportado. No se corrigen ni eliminan valores en esta hoja.</x:v>
      </x:c>
      <x:c r="C2" s="6" t="str">
        <x:v>Transcripcion completa del Excel aportado. No se corrigen ni eliminan valores en esta hoja.</x:v>
      </x:c>
      <x:c r="D2" s="6" t="str">
        <x:v>Transcripcion completa del Excel aportado. No se corrigen ni eliminan valores en esta hoja.</x:v>
      </x:c>
      <x:c r="E2" s="6" t="str">
        <x:v>Transcripcion completa del Excel aportado. No se corrigen ni eliminan valores en esta hoja.</x:v>
      </x:c>
      <x:c r="F2" s="6" t="str">
        <x:v>Transcripcion completa del Excel aportado. No se corrigen ni eliminan valores en esta hoja.</x:v>
      </x:c>
      <x:c r="G2" s="6" t="str">
        <x:v>Transcripcion completa del Excel aportado. No se corrigen ni eliminan valores en esta hoja.</x:v>
      </x:c>
      <x:c r="H2" s="6" t="str">
        <x:v>Transcripcion completa del Excel aportado. No se corrigen ni eliminan valores en esta hoja.</x:v>
      </x:c>
    </x:row>
    <x:row r="4" ht="30" customHeight="1">
      <x:c r="A4" s="14" t="str">
        <x:v>Hoja origen</x:v>
      </x:c>
      <x:c r="B4" s="15" t="str">
        <x:v>Fila</x:v>
      </x:c>
      <x:c r="C4" s="15" t="str">
        <x:v>Token / activo</x:v>
      </x:c>
      <x:c r="D4" s="15" t="str">
        <x:v>Valor original</x:v>
      </x:c>
      <x:c r="E4" s="15" t="str">
        <x:v>Transferible</x:v>
      </x:c>
      <x:c r="F4" s="15" t="str">
        <x:v>Utilidad</x:v>
      </x:c>
      <x:c r="G4" s="15" t="str">
        <x:v>Observacion</x:v>
      </x:c>
      <x:c r="H4" s="16" t="str">
        <x:v>Archivo fuente</x:v>
      </x:c>
    </x:row>
    <x:row r="5" ht="28" customHeight="1">
      <x:c r="A5" s="24" t="str">
        <x:v>Hoja 1</x:v>
      </x:c>
      <x:c r="B5" s="24" t="n">
        <x:v>2</x:v>
      </x:c>
      <x:c r="C5" s="24" t="str">
        <x:v>Game GOS</x:v>
      </x:c>
      <x:c r="D5" s="24" t="n">
        <x:v>50</x:v>
      </x:c>
      <x:c r="E5" s="24" t="str">
        <x:v>No</x:v>
      </x:c>
      <x:c r="F5" s="24" t="str">
        <x:v>Token para crear Hexas, orbes y baterias</x:v>
      </x:c>
      <x:c r="G5" s="24"/>
      <x:c r="H5" s="24" t="str">
        <x:v>Lista de Tokens - Meta EDU.xlsx</x:v>
      </x:c>
    </x:row>
    <x:row r="6" ht="28" customHeight="1">
      <x:c r="A6" s="25" t="str">
        <x:v>Hoja 1</x:v>
      </x:c>
      <x:c r="B6" s="25" t="n">
        <x:v>3</x:v>
      </x:c>
      <x:c r="C6" s="25" t="str">
        <x:v>Reex</x:v>
      </x:c>
      <x:c r="D6" s="25" t="n">
        <x:v>25</x:v>
      </x:c>
      <x:c r="E6" s="25" t="str">
        <x:v>Si</x:v>
      </x:c>
      <x:c r="F6" s="25" t="str">
        <x:v>Token de liquidez, necesario para realizar compras y pagos dentro de Olympia</x:v>
      </x:c>
      <x:c r="G6" s="25"/>
      <x:c r="H6" s="25" t="str">
        <x:v>Lista de Tokens - Meta EDU.xlsx</x:v>
      </x:c>
    </x:row>
    <x:row r="7" ht="28" customHeight="1">
      <x:c r="A7" s="25" t="str">
        <x:v>Hoja 1</x:v>
      </x:c>
      <x:c r="B7" s="25" t="n">
        <x:v>4</x:v>
      </x:c>
      <x:c r="C7" s="25" t="str">
        <x:v>Hexa</x:v>
      </x:c>
      <x:c r="D7" s="25" t="n">
        <x:v>2.5</x:v>
      </x:c>
      <x:c r="E7" s="25" t="str">
        <x:v>Si</x:v>
      </x:c>
      <x:c r="F7" s="25" t="str">
        <x:v>Token destinado a la compra de parcelas del juego</x:v>
      </x:c>
      <x:c r="G7" s="25"/>
      <x:c r="H7" s="25" t="str">
        <x:v>Lista de Tokens - Meta EDU.xlsx</x:v>
      </x:c>
    </x:row>
    <x:row r="8" ht="28" customHeight="1">
      <x:c r="A8" s="25" t="str">
        <x:v>Hoja 1</x:v>
      </x:c>
      <x:c r="B8" s="25" t="n">
        <x:v>5</x:v>
      </x:c>
      <x:c r="C8" s="25" t="str">
        <x:v>Nets</x:v>
      </x:c>
      <x:c r="D8" s="25" t="n">
        <x:v>6</x:v>
      </x:c>
      <x:c r="E8" s="25" t="str">
        <x:v>Si</x:v>
      </x:c>
      <x:c r="F8" s="25" t="str">
        <x:v>Tokens nativo de la blockchain Netsbo, necesaria para pagar fee de transacciones</x:v>
      </x:c>
      <x:c r="G8" s="25"/>
      <x:c r="H8" s="25" t="str">
        <x:v>Lista de Tokens - Meta EDU.xlsx</x:v>
      </x:c>
    </x:row>
    <x:row r="9" ht="28" customHeight="1">
      <x:c r="A9" s="25" t="str">
        <x:v>Hoja 1</x:v>
      </x:c>
      <x:c r="B9" s="25" t="n">
        <x:v>6</x:v>
      </x:c>
      <x:c r="C9" s="25" t="str">
        <x:v>Wnets</x:v>
      </x:c>
      <x:c r="D9" s="25" t="n">
        <x:v>6</x:v>
      </x:c>
      <x:c r="E9" s="25" t="str">
        <x:v>Si</x:v>
      </x:c>
      <x:c r="F9" s="25" t="str">
        <x:v>Token para ser comercializado en el marketplace Antallagi, misma función que Nets</x:v>
      </x:c>
      <x:c r="G9" s="25"/>
      <x:c r="H9" s="25" t="str">
        <x:v>Lista de Tokens - Meta EDU.xlsx</x:v>
      </x:c>
    </x:row>
    <x:row r="10" ht="28" customHeight="1">
      <x:c r="A10" s="25" t="str">
        <x:v>Hoja 1</x:v>
      </x:c>
      <x:c r="B10" s="25" t="n">
        <x:v>7</x:v>
      </x:c>
      <x:c r="C10" s="25" t="str">
        <x:v>NLT</x:v>
      </x:c>
      <x:c r="D10" s="25" t="n">
        <x:v>0.1</x:v>
      </x:c>
      <x:c r="E10" s="25" t="str">
        <x:v>No</x:v>
      </x:c>
      <x:c r="F10" s="25" t="str">
        <x:v>Aumenta el limite de farming de 7PT y 9PT</x:v>
      </x:c>
      <x:c r="G10" s="25" t="str">
        <x:v>Al no poder transferirse, es indifirente buscarle un valor de referencia</x:v>
      </x:c>
      <x:c r="H10" s="25" t="str">
        <x:v>Lista de Tokens - Meta EDU.xlsx</x:v>
      </x:c>
    </x:row>
    <x:row r="11" ht="28" customHeight="1">
      <x:c r="A11" s="25" t="str">
        <x:v>Hoja 1</x:v>
      </x:c>
      <x:c r="B11" s="25" t="n">
        <x:v>8</x:v>
      </x:c>
      <x:c r="C11" s="25" t="str">
        <x:v>MLC</x:v>
      </x:c>
      <x:c r="D11" s="25" t="str">
        <x:v>Sin referencia</x:v>
      </x:c>
      <x:c r="E11" s="25" t="str">
        <x:v>Si</x:v>
      </x:c>
      <x:c r="F11" s="25" t="str">
        <x:v>Unidad de medida para competencia Major League Coin (Descontinuado)</x:v>
      </x:c>
      <x:c r="G11" s="25"/>
      <x:c r="H11" s="25" t="str">
        <x:v>Lista de Tokens - Meta EDU.xlsx</x:v>
      </x:c>
    </x:row>
    <x:row r="12" ht="28" customHeight="1">
      <x:c r="A12" s="25" t="str">
        <x:v>Hoja 1</x:v>
      </x:c>
      <x:c r="B12" s="25" t="n">
        <x:v>9</x:v>
      </x:c>
      <x:c r="C12" s="25" t="str">
        <x:v>Gico</x:v>
      </x:c>
      <x:c r="D12" s="25" t="n">
        <x:v>86.5</x:v>
      </x:c>
      <x:c r="E12" s="25" t="str">
        <x:v>Si</x:v>
      </x:c>
      <x:c r="F12" s="25" t="str">
        <x:v>Token para comprar 7PT, 9PT o 7PT PRO</x:v>
      </x:c>
      <x:c r="G12" s="25"/>
      <x:c r="H12" s="25" t="str">
        <x:v>Lista de Tokens - Meta EDU.xlsx</x:v>
      </x:c>
    </x:row>
    <x:row r="13" ht="28" customHeight="1">
      <x:c r="A13" s="25" t="str">
        <x:v>Hoja 1</x:v>
      </x:c>
      <x:c r="B13" s="25" t="n">
        <x:v>10</x:v>
      </x:c>
      <x:c r="C13" s="25" t="str">
        <x:v>PreMPA</x:v>
      </x:c>
      <x:c r="D13" s="25" t="n">
        <x:v>450</x:v>
      </x:c>
      <x:c r="E13" s="25" t="str">
        <x:v>No</x:v>
      </x:c>
      <x:c r="F13" s="25" t="str">
        <x:v>Token de gobernanza de MarketPlace</x:v>
      </x:c>
      <x:c r="G13" s="25"/>
      <x:c r="H13" s="25" t="str">
        <x:v>Lista de Tokens - Meta EDU.xlsx</x:v>
      </x:c>
    </x:row>
    <x:row r="14" ht="28" customHeight="1">
      <x:c r="A14" s="25" t="str">
        <x:v>Hoja 1</x:v>
      </x:c>
      <x:c r="B14" s="25" t="n">
        <x:v>11</x:v>
      </x:c>
      <x:c r="C14" s="25" t="str">
        <x:v>Dominion</x:v>
      </x:c>
      <x:c r="D14" s="25" t="n">
        <x:v>60</x:v>
      </x:c>
      <x:c r="E14" s="25" t="str">
        <x:v>Si</x:v>
      </x:c>
      <x:c r="F14" s="25" t="str">
        <x:v>Token para comprar suscripciones, booster y advisor dentro de Oficina MOG</x:v>
      </x:c>
      <x:c r="G14" s="25"/>
      <x:c r="H14" s="25" t="str">
        <x:v>Lista de Tokens - Meta EDU.xlsx</x:v>
      </x:c>
    </x:row>
    <x:row r="15" ht="28" customHeight="1">
      <x:c r="A15" s="25" t="str">
        <x:v>Hoja 1</x:v>
      </x:c>
      <x:c r="B15" s="25" t="n">
        <x:v>12</x:v>
      </x:c>
      <x:c r="C15" s="25" t="str">
        <x:v>7PT Coupon</x:v>
      </x:c>
      <x:c r="D15" s="25" t="n">
        <x:v>2</x:v>
      </x:c>
      <x:c r="E15" s="25" t="str">
        <x:v>Si</x:v>
      </x:c>
      <x:c r="F15" s="25" t="str">
        <x:v>Token para comprar 7PT ahorrando 3 GICO</x:v>
      </x:c>
      <x:c r="G15" s="25"/>
      <x:c r="H15" s="25" t="str">
        <x:v>Lista de Tokens - Meta EDU.xlsx</x:v>
      </x:c>
    </x:row>
    <x:row r="16" ht="28" customHeight="1">
      <x:c r="A16" s="25" t="str">
        <x:v>Hoja 1</x:v>
      </x:c>
      <x:c r="B16" s="25" t="n">
        <x:v>13</x:v>
      </x:c>
      <x:c r="C16" s="25" t="str">
        <x:v>9 PT Coupon</x:v>
      </x:c>
      <x:c r="D16" s="25" t="n">
        <x:v>2</x:v>
      </x:c>
      <x:c r="E16" s="25" t="str">
        <x:v>Si</x:v>
      </x:c>
      <x:c r="F16" s="25" t="str">
        <x:v>Token para comprar 9PT ahorrando 3 GICO</x:v>
      </x:c>
      <x:c r="G16" s="25"/>
      <x:c r="H16" s="25" t="str">
        <x:v>Lista de Tokens - Meta EDU.xlsx</x:v>
      </x:c>
    </x:row>
    <x:row r="17" ht="28" customHeight="1">
      <x:c r="A17" s="25" t="str">
        <x:v>Hoja 1</x:v>
      </x:c>
      <x:c r="B17" s="25" t="n">
        <x:v>14</x:v>
      </x:c>
      <x:c r="C17" s="25" t="str">
        <x:v>7 PT PRO Coupon</x:v>
      </x:c>
      <x:c r="D17" s="25" t="n">
        <x:v>5</x:v>
      </x:c>
      <x:c r="E17" s="25" t="str">
        <x:v>Si</x:v>
      </x:c>
      <x:c r="F17" s="25" t="str">
        <x:v>Token para comprar 7PT PRO ahorrando 5 GICO</x:v>
      </x:c>
      <x:c r="G17" s="25"/>
      <x:c r="H17" s="25" t="str">
        <x:v>Lista de Tokens - Meta EDU.xlsx</x:v>
      </x:c>
    </x:row>
    <x:row r="18" ht="28" customHeight="1">
      <x:c r="A18" s="25" t="str">
        <x:v>Hoja 1</x:v>
      </x:c>
      <x:c r="B18" s="25" t="n">
        <x:v>15</x:v>
      </x:c>
      <x:c r="C18" s="25" t="str">
        <x:v>Antallagi</x:v>
      </x:c>
      <x:c r="D18" s="25" t="n">
        <x:v>0.8</x:v>
      </x:c>
      <x:c r="E18" s="25" t="str">
        <x:v>Si</x:v>
      </x:c>
      <x:c r="F18" s="25" t="str">
        <x:v>Token para pagar fee de transacciones en marketplace Antallagi</x:v>
      </x:c>
      <x:c r="G18" s="25"/>
      <x:c r="H18" s="25" t="str">
        <x:v>Lista de Tokens - Meta EDU.xlsx</x:v>
      </x:c>
    </x:row>
    <x:row r="19" ht="28" customHeight="1">
      <x:c r="A19" s="25" t="str">
        <x:v>Hoja 1</x:v>
      </x:c>
      <x:c r="B19" s="25" t="n">
        <x:v>16</x:v>
      </x:c>
      <x:c r="C19" s="25" t="str">
        <x:v>CBR</x:v>
      </x:c>
      <x:c r="D19" s="25" t="n">
        <x:v>60</x:v>
      </x:c>
      <x:c r="E19" s="25" t="str">
        <x:v>Si</x:v>
      </x:c>
      <x:c r="F19" s="25" t="str">
        <x:v>Token para delegar a nodos validadores de la blockchain Netsbo</x:v>
      </x:c>
      <x:c r="G19" s="25"/>
      <x:c r="H19" s="25" t="str">
        <x:v>Lista de Tokens - Meta EDU.xlsx</x:v>
      </x:c>
    </x:row>
    <x:row r="20" ht="28" customHeight="1">
      <x:c r="A20" s="25" t="str">
        <x:v>Hoja 1</x:v>
      </x:c>
      <x:c r="B20" s="25" t="n">
        <x:v>17</x:v>
      </x:c>
      <x:c r="C20" s="25" t="str">
        <x:v>Hexatile</x:v>
      </x:c>
      <x:c r="D20" s="25"/>
      <x:c r="E20" s="25" t="str">
        <x:v>Si</x:v>
      </x:c>
      <x:c r="F20" s="25" t="str">
        <x:v>Token para representar una parcela de juego</x:v>
      </x:c>
      <x:c r="G20" s="25"/>
      <x:c r="H20" s="25" t="str">
        <x:v>Lista de Tokens - Meta EDU.xlsx</x:v>
      </x:c>
    </x:row>
    <x:row r="21" ht="28" customHeight="1">
      <x:c r="A21" s="25" t="str">
        <x:v>Hoja 1</x:v>
      </x:c>
      <x:c r="B21" s="25" t="n">
        <x:v>18</x:v>
      </x:c>
      <x:c r="C21" s="25" t="str">
        <x:v>Loyalty</x:v>
      </x:c>
      <x:c r="D21" s="25" t="str">
        <x:v>Sin referencia</x:v>
      </x:c>
      <x:c r="E21" s="25" t="str">
        <x:v>No</x:v>
      </x:c>
      <x:c r="F21" s="25" t="str">
        <x:v>Token para alquilar hexatiles (parcelas)</x:v>
      </x:c>
      <x:c r="G21" s="25"/>
      <x:c r="H21" s="25" t="str">
        <x:v>Lista de Tokens - Meta EDU.xlsx</x:v>
      </x:c>
    </x:row>
    <x:row r="22" ht="28" customHeight="1">
      <x:c r="A22" s="25" t="str">
        <x:v>Hoja 1</x:v>
      </x:c>
      <x:c r="B22" s="25" t="n">
        <x:v>19</x:v>
      </x:c>
      <x:c r="C22" s="25" t="str">
        <x:v>inBTC</x:v>
      </x:c>
      <x:c r="D22" s="25" t="str">
        <x:v>Mismo que BTC</x:v>
      </x:c>
      <x:c r="E22" s="25" t="str">
        <x:v>Si</x:v>
      </x:c>
      <x:c r="F22" s="25" t="str">
        <x:v>Wrap (token envuelto) para conectar con la blokchain de Bitcoin </x:v>
      </x:c>
      <x:c r="G22" s="25"/>
      <x:c r="H22" s="25" t="str">
        <x:v>Lista de Tokens - Meta EDU.xlsx</x:v>
      </x:c>
    </x:row>
    <x:row r="23" ht="28" customHeight="1">
      <x:c r="A23" s="25" t="str">
        <x:v>Hoja 1</x:v>
      </x:c>
      <x:c r="B23" s="25" t="n">
        <x:v>20</x:v>
      </x:c>
      <x:c r="C23" s="25" t="str">
        <x:v>inETH</x:v>
      </x:c>
      <x:c r="D23" s="25" t="str">
        <x:v>Mismo que Ether</x:v>
      </x:c>
      <x:c r="E23" s="25" t="str">
        <x:v>Si</x:v>
      </x:c>
      <x:c r="F23" s="25" t="str">
        <x:v>Wrap (token envuelto) para conectar con la blokchain de Ethereum</x:v>
      </x:c>
      <x:c r="G23" s="25"/>
      <x:c r="H23" s="25" t="str">
        <x:v>Lista de Tokens - Meta EDU.xlsx</x:v>
      </x:c>
    </x:row>
    <x:row r="24" ht="28" customHeight="1">
      <x:c r="A24" s="25" t="str">
        <x:v>Hoja 1</x:v>
      </x:c>
      <x:c r="B24" s="25" t="n">
        <x:v>21</x:v>
      </x:c>
      <x:c r="C24" s="25" t="str">
        <x:v>Escudo</x:v>
      </x:c>
      <x:c r="D24" s="25" t="str">
        <x:v>1 USD</x:v>
      </x:c>
      <x:c r="E24" s="25" t="str">
        <x:v>Si</x:v>
      </x:c>
      <x:c r="F24" s="25" t="str">
        <x:v>Wrap (token envuelto) para operar con USDT en redes como TRC20, ERC20 y BSC</x:v>
      </x:c>
      <x:c r="G24" s="25"/>
      <x:c r="H24" s="25" t="str">
        <x:v>Lista de Tokens - Meta EDU.xlsx</x:v>
      </x:c>
    </x:row>
    <x:row r="25" ht="28" customHeight="1">
      <x:c r="A25" s="25" t="str">
        <x:v>Hoja 1</x:v>
      </x:c>
      <x:c r="B25" s="25" t="n">
        <x:v>22</x:v>
      </x:c>
      <x:c r="C25" s="25" t="str">
        <x:v>Hepta</x:v>
      </x:c>
      <x:c r="D25" s="25" t="str">
        <x:v>Sin referencia</x:v>
      </x:c>
      <x:c r="E25" s="25" t="str">
        <x:v>No</x:v>
      </x:c>
      <x:c r="F25" s="25" t="str">
        <x:v>Token que funcionará para comprar articulos y recursos basicos del juego</x:v>
      </x:c>
      <x:c r="G25" s="25"/>
      <x:c r="H25" s="25" t="str">
        <x:v>Lista de Tokens - Meta EDU.xlsx</x:v>
      </x:c>
    </x:row>
    <x:row r="26" ht="28" customHeight="1">
      <x:c r="A26" s="25" t="str">
        <x:v>Hoja 1</x:v>
      </x:c>
      <x:c r="B26" s="25" t="n">
        <x:v>23</x:v>
      </x:c>
      <x:c r="C26" s="25" t="str">
        <x:v>Octa</x:v>
      </x:c>
      <x:c r="D26" s="25" t="str">
        <x:v>Sin referencia</x:v>
      </x:c>
      <x:c r="E26" s="25" t="str">
        <x:v>No</x:v>
      </x:c>
      <x:c r="F26" s="25" t="str">
        <x:v>Token premium para adquirir los objetos mas caros y exclusivos</x:v>
      </x:c>
      <x:c r="G26" s="25"/>
      <x:c r="H26" s="25" t="str">
        <x:v>Lista de Tokens - Meta EDU.xlsx</x:v>
      </x:c>
    </x:row>
    <x:row r="27" ht="28" customHeight="1">
      <x:c r="A27" s="25" t="str">
        <x:v>Hoja 1</x:v>
      </x:c>
      <x:c r="B27" s="25" t="n">
        <x:v>24</x:v>
      </x:c>
      <x:c r="C27" s="25" t="str">
        <x:v>GOS</x:v>
      </x:c>
      <x:c r="D27" s="25" t="n">
        <x:v>60</x:v>
      </x:c>
      <x:c r="E27" s="25" t="str">
        <x:v>Si</x:v>
      </x:c>
      <x:c r="F27" s="25" t="str">
        <x:v>Token para realizar pagos internos de la plataforma GIG-OS</x:v>
      </x:c>
      <x:c r="G27" s="25"/>
      <x:c r="H27" s="25" t="str">
        <x:v>Lista de Tokens - Meta EDU.xlsx</x:v>
      </x:c>
    </x:row>
    <x:row r="28" ht="28" customHeight="1">
      <x:c r="A28" s="25" t="str">
        <x:v>Hoja 1</x:v>
      </x:c>
      <x:c r="B28" s="25" t="n">
        <x:v>25</x:v>
      </x:c>
      <x:c r="C28" s="25" t="str">
        <x:v>Advisor</x:v>
      </x:c>
      <x:c r="D28" s="25" t="n">
        <x:v>5</x:v>
      </x:c>
      <x:c r="E28" s="25" t="str">
        <x:v>No</x:v>
      </x:c>
      <x:c r="F28" s="25" t="str">
        <x:v>Asistente que administra las hexatiles (parcelas) del juego</x:v>
      </x:c>
      <x:c r="G28" s="25"/>
      <x:c r="H28" s="25" t="str">
        <x:v>Lista de Tokens - Meta EDU.xlsx</x:v>
      </x:c>
    </x:row>
    <x:row r="29" ht="28" customHeight="1">
      <x:c r="A29" s="25" t="str">
        <x:v>Hoja 1</x:v>
      </x:c>
      <x:c r="B29" s="25" t="n">
        <x:v>26</x:v>
      </x:c>
      <x:c r="C29" s="25" t="str">
        <x:v>INT </x:v>
      </x:c>
      <x:c r="D29" s="25" t="n">
        <x:v>85.5</x:v>
      </x:c>
      <x:c r="E29" s="25" t="str">
        <x:v>Si</x:v>
      </x:c>
      <x:c r="F29" s="25" t="str">
        <x:v>Token de gobernanza y utilidad para el marketplace de servicios Interatum</x:v>
      </x:c>
      <x:c r="G29" s="25"/>
      <x:c r="H29" s="25" t="str">
        <x:v>Lista de Tokens - Meta EDU.xlsx</x:v>
      </x:c>
    </x:row>
    <x:row r="30" ht="28" customHeight="1">
      <x:c r="A30" s="25" t="str">
        <x:v>Hoja 1</x:v>
      </x:c>
      <x:c r="B30" s="25" t="n">
        <x:v>27</x:v>
      </x:c>
      <x:c r="C30" s="25" t="str">
        <x:v>HMAP</x:v>
      </x:c>
      <x:c r="D30" s="25" t="n">
        <x:v>50</x:v>
      </x:c>
      <x:c r="E30" s="25" t="str">
        <x:v>Si</x:v>
      </x:c>
      <x:c r="F30" s="25" t="str">
        <x:v>Token para realizar pagos internos de la plataforma Olympia</x:v>
      </x:c>
      <x:c r="G30" s="25"/>
      <x:c r="H30" s="25" t="str">
        <x:v>Lista de Tokens - Meta EDU.xlsx</x:v>
      </x:c>
    </x:row>
    <x:row r="31" ht="28" customHeight="1">
      <x:c r="A31" s="25" t="str">
        <x:v>Hoja 1</x:v>
      </x:c>
      <x:c r="B31" s="25" t="n">
        <x:v>28</x:v>
      </x:c>
      <x:c r="C31" s="25" t="str">
        <x:v>GTC</x:v>
      </x:c>
      <x:c r="D31" s="25" t="str">
        <x:v>1g de ORO</x:v>
      </x:c>
      <x:c r="E31" s="25" t="str">
        <x:v>Si</x:v>
      </x:c>
      <x:c r="F31" s="25" t="str">
        <x:v>Token para acumular valor </x:v>
      </x:c>
      <x:c r="G31" s="25"/>
      <x:c r="H31" s="25" t="str">
        <x:v>Lista de Tokens - Meta EDU.xlsx</x:v>
      </x:c>
    </x:row>
    <x:row r="32" ht="28" customHeight="1">
      <x:c r="A32" s="25" t="str">
        <x:v>Hoja 1</x:v>
      </x:c>
      <x:c r="B32" s="25" t="n">
        <x:v>29</x:v>
      </x:c>
      <x:c r="C32" s="25" t="str">
        <x:v>1 GM</x:v>
      </x:c>
      <x:c r="D32" s="25" t="str">
        <x:v>?</x:v>
      </x:c>
      <x:c r="E32" s="25" t="str">
        <x:v>Si</x:v>
      </x:c>
      <x:c r="F32" s="25" t="str">
        <x:v>Tokens que da derecho de tener un nuevo MOG proveniente de campaña publicitaria</x:v>
      </x:c>
      <x:c r="G32" s="25" t="str">
        <x:v>Corroborar si se puede transferir. €25? 1 Reex en el TAC equivale a 1 GM</x:v>
      </x:c>
      <x:c r="H32" s="25" t="str">
        <x:v>Lista de Tokens - Meta EDU.xlsx</x:v>
      </x:c>
    </x:row>
    <x:row r="33" ht="28" customHeight="1">
      <x:c r="A33" s="25" t="str">
        <x:v>Hoja 1</x:v>
      </x:c>
      <x:c r="B33" s="25" t="n">
        <x:v>30</x:v>
      </x:c>
      <x:c r="C33" s="25" t="str">
        <x:v>PreFactory</x:v>
      </x:c>
      <x:c r="D33" s="25" t="n">
        <x:v>150</x:v>
      </x:c>
      <x:c r="E33" s="25" t="str">
        <x:v>Si</x:v>
      </x:c>
      <x:c r="F33" s="25" t="str">
        <x:v>Cupón necesario para crear fabricas de Drones del juego</x:v>
      </x:c>
      <x:c r="G33" s="25" t="str">
        <x:v>Costo de comisión para trasnferir €150</x:v>
      </x:c>
      <x:c r="H33" s="25" t="str">
        <x:v>Lista de Tokens - Meta EDU.xlsx</x:v>
      </x:c>
    </x:row>
    <x:row r="34" ht="28" customHeight="1">
      <x:c r="A34" s="25" t="str">
        <x:v>Hoja 1</x:v>
      </x:c>
      <x:c r="B34" s="25" t="n">
        <x:v>31</x:v>
      </x:c>
      <x:c r="C34" s="25" t="str">
        <x:v>FactoryDX</x:v>
      </x:c>
      <x:c r="D34" s="25" t="n">
        <x:v>450</x:v>
      </x:c>
      <x:c r="E34" s="25" t="str">
        <x:v>Si</x:v>
      </x:c>
      <x:c r="F34" s="25" t="str">
        <x:v>Fabrica de Drones que produce 1 unidad cada 7 días</x:v>
      </x:c>
      <x:c r="G34" s="25"/>
      <x:c r="H34" s="25" t="str">
        <x:v>Lista de Tokens - Meta EDU.xlsx</x:v>
      </x:c>
    </x:row>
    <x:row r="35" ht="28" customHeight="1">
      <x:c r="A35" s="25" t="str">
        <x:v>Hoja 1</x:v>
      </x:c>
      <x:c r="B35" s="25" t="n">
        <x:v>32</x:v>
      </x:c>
      <x:c r="C35" s="25" t="str">
        <x:v>FactoryDX+</x:v>
      </x:c>
      <x:c r="D35" s="25" t="n">
        <x:v>625</x:v>
      </x:c>
      <x:c r="E35" s="25" t="str">
        <x:v>Si</x:v>
      </x:c>
      <x:c r="F35" s="25" t="str">
        <x:v>Fabrica de Drones que produce 1 unidad cada 5 días</x:v>
      </x:c>
      <x:c r="G35" s="25"/>
      <x:c r="H35" s="25" t="str">
        <x:v>Lista de Tokens - Meta EDU.xlsx</x:v>
      </x:c>
    </x:row>
    <x:row r="36" ht="28" customHeight="1">
      <x:c r="A36" s="25" t="str">
        <x:v>Hoja 1</x:v>
      </x:c>
      <x:c r="B36" s="25" t="n">
        <x:v>33</x:v>
      </x:c>
      <x:c r="C36" s="25" t="str">
        <x:v>Reex Miner</x:v>
      </x:c>
      <x:c r="D36" s="25" t="str">
        <x:v>?</x:v>
      </x:c>
      <x:c r="E36" s="25" t="str">
        <x:v>Si</x:v>
      </x:c>
      <x:c r="F36" s="25" t="str">
        <x:v>Token para minar REEX dentro de las parcelas del juego</x:v>
      </x:c>
      <x:c r="G36" s="25" t="str">
        <x:v>se activa con 1 gico para ser transferible e utilizable pero genera hasta 3 reex asi que su valor de venta tienen que ser por debajo de 3 reex</x:v>
      </x:c>
      <x:c r="H36" s="25" t="str">
        <x:v>Lista de Tokens - Meta EDU.xlsx</x:v>
      </x:c>
    </x:row>
    <x:row r="37" ht="28" customHeight="1">
      <x:c r="A37" s="25" t="str">
        <x:v>Hoja 1</x:v>
      </x:c>
      <x:c r="B37" s="25" t="n">
        <x:v>34</x:v>
      </x:c>
      <x:c r="C37" s="25" t="str">
        <x:v>Control hexatile 3x</x:v>
      </x:c>
      <x:c r="D37" s="25" t="n">
        <x:v>12</x:v>
      </x:c>
      <x:c r="E37" s="25" t="str">
        <x:v>No</x:v>
      </x:c>
      <x:c r="F37" s="25" t="str">
        <x:v>Booste que aumenta la cantidades de parcelas dentro del asesor a 381 terrenos</x:v>
      </x:c>
      <x:c r="G37" s="25"/>
      <x:c r="H37" s="25" t="str">
        <x:v>Lista de Tokens - Meta EDU.xlsx</x:v>
      </x:c>
    </x:row>
    <x:row r="38" ht="28" customHeight="1">
      <x:c r="A38" s="25" t="str">
        <x:v>Hoja 1</x:v>
      </x:c>
      <x:c r="B38" s="25" t="n">
        <x:v>35</x:v>
      </x:c>
      <x:c r="C38" s="25" t="str">
        <x:v>Control hexatile 9x</x:v>
      </x:c>
      <x:c r="D38" s="25" t="n">
        <x:v>30</x:v>
      </x:c>
      <x:c r="E38" s="25" t="str">
        <x:v>No</x:v>
      </x:c>
      <x:c r="F38" s="25" t="str">
        <x:v>Booster que aumenta la cantidades de parcelas dentro del asesor a 1143 terrenos</x:v>
      </x:c>
      <x:c r="G38" s="25"/>
      <x:c r="H38" s="25" t="str">
        <x:v>Lista de Tokens - Meta EDU.xlsx</x:v>
      </x:c>
    </x:row>
    <x:row r="39" ht="28" customHeight="1">
      <x:c r="A39" s="25" t="str">
        <x:v>Hoja 1</x:v>
      </x:c>
      <x:c r="B39" s="25" t="n">
        <x:v>36</x:v>
      </x:c>
      <x:c r="C39" s="25" t="str">
        <x:v>Control hexatile 27x</x:v>
      </x:c>
      <x:c r="D39" s="25" t="n">
        <x:v>60</x:v>
      </x:c>
      <x:c r="E39" s="25" t="str">
        <x:v>No</x:v>
      </x:c>
      <x:c r="F39" s="25" t="str">
        <x:v>Booster que aumenta la cantidades de parcelas dentro del asesor a 3429 terrenos</x:v>
      </x:c>
      <x:c r="G39" s="25"/>
      <x:c r="H39" s="25" t="str">
        <x:v>Lista de Tokens - Meta EDU.xlsx</x:v>
      </x:c>
    </x:row>
    <x:row r="40" ht="28" customHeight="1">
      <x:c r="A40" s="25" t="str">
        <x:v>Hoja 1</x:v>
      </x:c>
      <x:c r="B40" s="25" t="n">
        <x:v>37</x:v>
      </x:c>
      <x:c r="C40" s="25" t="str">
        <x:v>Extra Orb</x:v>
      </x:c>
      <x:c r="D40" s="25" t="n">
        <x:v>60</x:v>
      </x:c>
      <x:c r="E40" s="25" t="str">
        <x:v>No</x:v>
      </x:c>
      <x:c r="F40" s="25" t="str">
        <x:v>Booster que permite colocar 1 orbe demas en la parcela</x:v>
      </x:c>
      <x:c r="G40" s="25"/>
      <x:c r="H40" s="25" t="str">
        <x:v>Lista de Tokens - Meta EDU.xlsx</x:v>
      </x:c>
    </x:row>
    <x:row r="41" ht="28" customHeight="1">
      <x:c r="A41" s="25" t="str">
        <x:v>Hoja 1</x:v>
      </x:c>
      <x:c r="B41" s="25" t="n">
        <x:v>38</x:v>
      </x:c>
      <x:c r="C41" s="25" t="str">
        <x:v>Connect plus 90D</x:v>
      </x:c>
      <x:c r="D41" s="25" t="n">
        <x:v>60</x:v>
      </x:c>
      <x:c r="E41" s="25" t="str">
        <x:v>No</x:v>
      </x:c>
      <x:c r="F41" s="25" t="str">
        <x:v>Booster que permite comunicarse con los jugadorespo 90 dias</x:v>
      </x:c>
      <x:c r="G41" s="25"/>
      <x:c r="H41" s="25" t="str">
        <x:v>Lista de Tokens - Meta EDU.xlsx</x:v>
      </x:c>
    </x:row>
    <x:row r="42" ht="28" customHeight="1">
      <x:c r="A42" s="25" t="str">
        <x:v>Hoja 1</x:v>
      </x:c>
      <x:c r="B42" s="25" t="n">
        <x:v>39</x:v>
      </x:c>
      <x:c r="C42" s="25" t="str">
        <x:v>Connect plus 1Y</x:v>
      </x:c>
      <x:c r="D42" s="25" t="n">
        <x:v>120</x:v>
      </x:c>
      <x:c r="E42" s="25" t="str">
        <x:v>No</x:v>
      </x:c>
      <x:c r="F42" s="25" t="str">
        <x:v>Booster que permite comunicarse con los jugadores por 1 año</x:v>
      </x:c>
      <x:c r="G42" s="25"/>
      <x:c r="H42" s="25" t="str">
        <x:v>Lista de Tokens - Meta EDU.xlsx</x:v>
      </x:c>
    </x:row>
    <x:row r="43" ht="28" customHeight="1">
      <x:c r="A43" s="25" t="str">
        <x:v>Hoja 1</x:v>
      </x:c>
      <x:c r="B43" s="25" t="n">
        <x:v>40</x:v>
      </x:c>
      <x:c r="C43" s="25" t="str">
        <x:v>Shard Setter 30D</x:v>
      </x:c>
      <x:c r="D43" s="25" t="n">
        <x:v>60</x:v>
      </x:c>
      <x:c r="E43" s="25" t="str">
        <x:v>No</x:v>
      </x:c>
      <x:c r="F43" s="25" t="str">
        <x:v>Booster para colocar elementos especiales (shard) para atraer jugadores por 30 días</x:v>
      </x:c>
      <x:c r="G43" s="25"/>
      <x:c r="H43" s="25" t="str">
        <x:v>Lista de Tokens - Meta EDU.xlsx</x:v>
      </x:c>
    </x:row>
    <x:row r="44" ht="28" customHeight="1">
      <x:c r="A44" s="25" t="str">
        <x:v>Hoja 1</x:v>
      </x:c>
      <x:c r="B44" s="25" t="n">
        <x:v>41</x:v>
      </x:c>
      <x:c r="C44" s="25" t="str">
        <x:v>Shard Setter 90D</x:v>
      </x:c>
      <x:c r="D44" s="25" t="n">
        <x:v>210</x:v>
      </x:c>
      <x:c r="E44" s="25" t="str">
        <x:v>No</x:v>
      </x:c>
      <x:c r="F44" s="25" t="str">
        <x:v>Booster para colocar elementos especiales (shard) para atraer jugadores por 90 días</x:v>
      </x:c>
      <x:c r="G44" s="25"/>
      <x:c r="H44" s="25" t="str">
        <x:v>Lista de Tokens - Meta EDU.xlsx</x:v>
      </x:c>
    </x:row>
    <x:row r="45" ht="28" customHeight="1">
      <x:c r="A45" s="25" t="str">
        <x:v>Hoja 1</x:v>
      </x:c>
      <x:c r="B45" s="25" t="n">
        <x:v>42</x:v>
      </x:c>
      <x:c r="C45" s="25" t="str">
        <x:v>BaitMaster</x:v>
      </x:c>
      <x:c r="D45" s="25" t="n">
        <x:v>60</x:v>
      </x:c>
      <x:c r="E45" s="25" t="str">
        <x:v>No</x:v>
      </x:c>
      <x:c r="F45" s="25" t="str">
        <x:v>Booster para colocar objetos de interes para los jugadores </x:v>
      </x:c>
      <x:c r="G45" s="25"/>
      <x:c r="H45" s="25" t="str">
        <x:v>Lista de Tokens - Meta EDU.xlsx</x:v>
      </x:c>
    </x:row>
    <x:row r="46" ht="28" customHeight="1">
      <x:c r="A46" s="25" t="str">
        <x:v>Hoja 1</x:v>
      </x:c>
      <x:c r="B46" s="25" t="n">
        <x:v>43</x:v>
      </x:c>
      <x:c r="C46" s="25" t="str">
        <x:v>BaitMaster Pro</x:v>
      </x:c>
      <x:c r="D46" s="25" t="n">
        <x:v>120</x:v>
      </x:c>
      <x:c r="E46" s="25" t="str">
        <x:v>No</x:v>
      </x:c>
      <x:c r="F46" s="25" t="str">
        <x:v>Booster para colocar objetos de interes para los jugadores </x:v>
      </x:c>
      <x:c r="G46" s="25"/>
      <x:c r="H46" s="25" t="str">
        <x:v>Lista de Tokens - Meta EDU.xlsx</x:v>
      </x:c>
    </x:row>
    <x:row r="47" ht="28" customHeight="1">
      <x:c r="A47" s="25" t="str">
        <x:v>Hoja 1</x:v>
      </x:c>
      <x:c r="B47" s="25" t="n">
        <x:v>44</x:v>
      </x:c>
      <x:c r="C47" s="25" t="str">
        <x:v>Orb Commander</x:v>
      </x:c>
      <x:c r="D47" s="25" t="n">
        <x:v>60</x:v>
      </x:c>
      <x:c r="E47" s="25" t="str">
        <x:v>No</x:v>
      </x:c>
      <x:c r="F47" s="25" t="str">
        <x:v>Booster que ayuda a colocar orbes de manera automatica </x:v>
      </x:c>
      <x:c r="G47" s="25"/>
      <x:c r="H47" s="25" t="str">
        <x:v>Lista de Tokens - Meta EDU.xlsx</x:v>
      </x:c>
    </x:row>
    <x:row r="48" ht="28" customHeight="1">
      <x:c r="A48" s="25" t="str">
        <x:v>Hoja 1</x:v>
      </x:c>
      <x:c r="B48" s="25" t="n">
        <x:v>45</x:v>
      </x:c>
      <x:c r="C48" s="25" t="str">
        <x:v>Orb Auto-Setter</x:v>
      </x:c>
      <x:c r="D48" s="25" t="n">
        <x:v>60</x:v>
      </x:c>
      <x:c r="E48" s="25" t="str">
        <x:v>No</x:v>
      </x:c>
      <x:c r="F48" s="25" t="str">
        <x:v>Booster que colocar orbes sin la orden del MOG</x:v>
      </x:c>
      <x:c r="G48" s="25"/>
      <x:c r="H48" s="25" t="str">
        <x:v>Lista de Tokens - Meta EDU.xlsx</x:v>
      </x:c>
    </x:row>
    <x:row r="49" ht="28" customHeight="1">
      <x:c r="A49" s="25" t="str">
        <x:v>Hoja 1</x:v>
      </x:c>
      <x:c r="B49" s="25" t="n">
        <x:v>46</x:v>
      </x:c>
      <x:c r="C49" s="25" t="str">
        <x:v>Orb Master</x:v>
      </x:c>
      <x:c r="D49" s="25" t="n">
        <x:v>60</x:v>
      </x:c>
      <x:c r="E49" s="25" t="str">
        <x:v>No</x:v>
      </x:c>
      <x:c r="F49" s="25" t="str">
        <x:v>Booster que ayuda a colocar orbes standar de diferentes colores de manera automatica </x:v>
      </x:c>
      <x:c r="G49" s="25"/>
      <x:c r="H49" s="25" t="str">
        <x:v>Lista de Tokens - Meta EDU.xlsx</x:v>
      </x:c>
    </x:row>
    <x:row r="50" ht="28" customHeight="1">
      <x:c r="A50" s="25" t="str">
        <x:v>Hoja 1</x:v>
      </x:c>
      <x:c r="B50" s="25" t="n">
        <x:v>47</x:v>
      </x:c>
      <x:c r="C50" s="25" t="str">
        <x:v>Magic Line</x:v>
      </x:c>
      <x:c r="D50" s="25" t="n">
        <x:v>120</x:v>
      </x:c>
      <x:c r="E50" s="25" t="str">
        <x:v>No</x:v>
      </x:c>
      <x:c r="F50" s="25" t="str">
        <x:v>Booster que coloca orbes trazando un recorrido para el jugador</x:v>
      </x:c>
      <x:c r="G50" s="25"/>
      <x:c r="H50" s="25" t="str">
        <x:v>Lista de Tokens - Meta EDU.xlsx</x:v>
      </x:c>
    </x:row>
    <x:row r="51" ht="28" customHeight="1">
      <x:c r="A51" s="25" t="str">
        <x:v>Hoja 1</x:v>
      </x:c>
      <x:c r="B51" s="25" t="n">
        <x:v>48</x:v>
      </x:c>
      <x:c r="C51" s="25" t="str">
        <x:v>Smart Balancer</x:v>
      </x:c>
      <x:c r="D51" s="25" t="n">
        <x:v>60</x:v>
      </x:c>
      <x:c r="E51" s="25" t="str">
        <x:v>No</x:v>
      </x:c>
      <x:c r="F51" s="25" t="str">
        <x:v>Booster que distribuye de forma uniforme  los recursos en los terrenos</x:v>
      </x:c>
      <x:c r="G51" s="25"/>
      <x:c r="H51" s="25" t="str">
        <x:v>Lista de Tokens - Meta EDU.xlsx</x:v>
      </x:c>
    </x:row>
    <x:row r="52" ht="28" customHeight="1">
      <x:c r="A52" s="25" t="str">
        <x:v>Hoja 1</x:v>
      </x:c>
      <x:c r="B52" s="25" t="n">
        <x:v>49</x:v>
      </x:c>
      <x:c r="C52" s="25" t="str">
        <x:v>Researcher 30D</x:v>
      </x:c>
      <x:c r="D52" s="25" t="n">
        <x:v>60</x:v>
      </x:c>
      <x:c r="E52" s="25" t="str">
        <x:v>No</x:v>
      </x:c>
      <x:c r="F52" s="25" t="str">
        <x:v>Booster que da seguimiento por 30 dias a los recursos dentro de sus parcelas</x:v>
      </x:c>
      <x:c r="G52" s="25"/>
      <x:c r="H52" s="25" t="str">
        <x:v>Lista de Tokens - Meta EDU.xlsx</x:v>
      </x:c>
    </x:row>
    <x:row r="53" ht="28" customHeight="1">
      <x:c r="A53" s="25" t="str">
        <x:v>Hoja 1</x:v>
      </x:c>
      <x:c r="B53" s="25" t="n">
        <x:v>50</x:v>
      </x:c>
      <x:c r="C53" s="25" t="str">
        <x:v>Researcher 90D</x:v>
      </x:c>
      <x:c r="D53" s="25" t="n">
        <x:v>120</x:v>
      </x:c>
      <x:c r="E53" s="25" t="str">
        <x:v>No</x:v>
      </x:c>
      <x:c r="F53" s="25" t="str">
        <x:v>Booster que da seguimiento por 90 dias a los recursos dentro de sus parcelas</x:v>
      </x:c>
      <x:c r="G53" s="25"/>
      <x:c r="H53" s="25" t="str">
        <x:v>Lista de Tokens - Meta EDU.xlsx</x:v>
      </x:c>
    </x:row>
    <x:row r="54" ht="28" customHeight="1">
      <x:c r="A54" s="25" t="str">
        <x:v>Hoja 1</x:v>
      </x:c>
      <x:c r="B54" s="25" t="n">
        <x:v>51</x:v>
      </x:c>
      <x:c r="C54" s="25" t="str">
        <x:v>Re-charger</x:v>
      </x:c>
      <x:c r="D54" s="25" t="n">
        <x:v>60</x:v>
      </x:c>
      <x:c r="E54" s="25" t="str">
        <x:v>No</x:v>
      </x:c>
      <x:c r="F54" s="25" t="str">
        <x:v>Booster que recarga el limite de interacción de los orbes Bilboard y Maps</x:v>
      </x:c>
      <x:c r="G54" s="25"/>
      <x:c r="H54" s="25" t="str">
        <x:v>Lista de Tokens - Meta EDU.xlsx</x:v>
      </x:c>
    </x:row>
    <x:row r="55" ht="28" customHeight="1">
      <x:c r="A55" s="25" t="str">
        <x:v>Hoja 1</x:v>
      </x:c>
      <x:c r="B55" s="25" t="n">
        <x:v>52</x:v>
      </x:c>
      <x:c r="C55" s="25" t="str">
        <x:v>Re-charger Config</x:v>
      </x:c>
      <x:c r="D55" s="25" t="n">
        <x:v>60</x:v>
      </x:c>
      <x:c r="E55" s="25" t="str">
        <x:v>No</x:v>
      </x:c>
      <x:c r="F55" s="25" t="str">
        <x:v>Booster configurable para elegir que orbe recargar o no recargar de los Bilboard y Maps</x:v>
      </x:c>
      <x:c r="G55" s="25"/>
      <x:c r="H55" s="25" t="str">
        <x:v>Lista de Tokens - Meta EDU.xlsx</x:v>
      </x:c>
    </x:row>
    <x:row r="56" ht="28" customHeight="1">
      <x:c r="A56" s="25" t="str">
        <x:v>Hoja 1</x:v>
      </x:c>
      <x:c r="B56" s="25" t="n">
        <x:v>53</x:v>
      </x:c>
      <x:c r="C56" s="25" t="str">
        <x:v>Land Seller</x:v>
      </x:c>
      <x:c r="D56" s="25" t="n">
        <x:v>60</x:v>
      </x:c>
      <x:c r="E56" s="25" t="str">
        <x:v>No</x:v>
      </x:c>
      <x:c r="F56" s="25" t="str">
        <x:v>Booster para poner a la venta todos los terrenos dentro del advisor </x:v>
      </x:c>
      <x:c r="G56" s="25"/>
      <x:c r="H56" s="25" t="str">
        <x:v>Lista de Tokens - Meta EDU.xlsx</x:v>
      </x:c>
    </x:row>
    <x:row r="57" ht="28" customHeight="1">
      <x:c r="A57" s="25" t="str">
        <x:v>Hoja 1</x:v>
      </x:c>
      <x:c r="B57" s="25" t="n">
        <x:v>54</x:v>
      </x:c>
      <x:c r="C57" s="25" t="str">
        <x:v>Land Bider</x:v>
      </x:c>
      <x:c r="D57" s="25" t="n">
        <x:v>60</x:v>
      </x:c>
      <x:c r="E57" s="25" t="str">
        <x:v>No</x:v>
      </x:c>
      <x:c r="F57" s="25" t="str">
        <x:v>Booster para realizar una oferta para comprar varios terrenos a otro MOG</x:v>
      </x:c>
      <x:c r="G57" s="25"/>
      <x:c r="H57" s="25" t="str">
        <x:v>Lista de Tokens - Meta EDU.xlsx</x:v>
      </x:c>
    </x:row>
    <x:row r="58" ht="28" customHeight="1">
      <x:c r="A58" s="25" t="str">
        <x:v>Hoja 1</x:v>
      </x:c>
      <x:c r="B58" s="25" t="n">
        <x:v>55</x:v>
      </x:c>
      <x:c r="C58" s="25" t="str">
        <x:v>Land Buyer</x:v>
      </x:c>
      <x:c r="D58" s="25" t="n">
        <x:v>60</x:v>
      </x:c>
      <x:c r="E58" s="25" t="str">
        <x:v>No</x:v>
      </x:c>
      <x:c r="F58" s="25" t="str">
        <x:v>Booster para comprar terrenos de forma automatica a otros MOG</x:v>
      </x:c>
      <x:c r="G58" s="25"/>
      <x:c r="H58" s="25" t="str">
        <x:v>Lista de Tokens - Meta EDU.xlsx</x:v>
      </x:c>
    </x:row>
    <x:row r="59" ht="28" customHeight="1">
      <x:c r="A59" s="25" t="str">
        <x:v>Hoja 1</x:v>
      </x:c>
      <x:c r="B59" s="25" t="n">
        <x:v>56</x:v>
      </x:c>
      <x:c r="C59" s="25" t="str">
        <x:v>Orbe Azul</x:v>
      </x:c>
      <x:c r="D59" s="25" t="n">
        <x:v>0.25</x:v>
      </x:c>
      <x:c r="E59" s="25" t="str">
        <x:v>Si</x:v>
      </x:c>
      <x:c r="F59" s="25" t="str">
        <x:v>Punto de interacción standar que proporciona recursos al jugador y al MOG</x:v>
      </x:c>
      <x:c r="G59" s="25"/>
      <x:c r="H59" s="25" t="str">
        <x:v>Lista de Tokens - Meta EDU.xlsx</x:v>
      </x:c>
    </x:row>
    <x:row r="60" ht="28" customHeight="1">
      <x:c r="A60" s="25" t="str">
        <x:v>Hoja 1</x:v>
      </x:c>
      <x:c r="B60" s="25" t="n">
        <x:v>57</x:v>
      </x:c>
      <x:c r="C60" s="25" t="str">
        <x:v>Orbe Verde</x:v>
      </x:c>
      <x:c r="D60" s="25" t="n">
        <x:v>0.5</x:v>
      </x:c>
      <x:c r="E60" s="25" t="str">
        <x:v>Si</x:v>
      </x:c>
      <x:c r="F60" s="25" t="str">
        <x:v>Punto de interacción standar que proporciona recursos al jugador y al MOG</x:v>
      </x:c>
      <x:c r="G60" s="25"/>
      <x:c r="H60" s="25" t="str">
        <x:v>Lista de Tokens - Meta EDU.xlsx</x:v>
      </x:c>
    </x:row>
    <x:row r="61" ht="28" customHeight="1">
      <x:c r="A61" s="25" t="str">
        <x:v>Hoja 1</x:v>
      </x:c>
      <x:c r="B61" s="25" t="n">
        <x:v>58</x:v>
      </x:c>
      <x:c r="C61" s="25" t="str">
        <x:v>Orbe Rojo</x:v>
      </x:c>
      <x:c r="D61" s="25" t="n">
        <x:v>1.5</x:v>
      </x:c>
      <x:c r="E61" s="25" t="str">
        <x:v>Si</x:v>
      </x:c>
      <x:c r="F61" s="25" t="str">
        <x:v>Punto de interacción standar que proporciona recursos al jugador y al MOG</x:v>
      </x:c>
      <x:c r="G61" s="25"/>
      <x:c r="H61" s="25" t="str">
        <x:v>Lista de Tokens - Meta EDU.xlsx</x:v>
      </x:c>
    </x:row>
    <x:row r="62" ht="28" customHeight="1">
      <x:c r="A62" s="25" t="str">
        <x:v>Hoja 1</x:v>
      </x:c>
      <x:c r="B62" s="25" t="n">
        <x:v>59</x:v>
      </x:c>
      <x:c r="C62" s="25" t="str">
        <x:v>Orbe Violeta (Bilboard) 1h</x:v>
      </x:c>
      <x:c r="D62" s="25" t="n">
        <x:v>1</x:v>
      </x:c>
      <x:c r="E62" s="25" t="str">
        <x:v>Si</x:v>
      </x:c>
      <x:c r="F62" s="25" t="str">
        <x:v>Punto de interacción (mostrando un texto) que proporciona recursos al jugador y al MOG</x:v>
      </x:c>
      <x:c r="G62" s="25"/>
      <x:c r="H62" s="25" t="str">
        <x:v>Lista de Tokens - Meta EDU.xlsx</x:v>
      </x:c>
    </x:row>
    <x:row r="63" ht="28" customHeight="1">
      <x:c r="A63" s="25" t="str">
        <x:v>Hoja 1</x:v>
      </x:c>
      <x:c r="B63" s="25" t="n">
        <x:v>60</x:v>
      </x:c>
      <x:c r="C63" s="25" t="str">
        <x:v>Orbe Violeta (Bilboard) 5m</x:v>
      </x:c>
      <x:c r="D63" s="25" t="n">
        <x:v>1.5</x:v>
      </x:c>
      <x:c r="E63" s="25" t="str">
        <x:v>Si</x:v>
      </x:c>
      <x:c r="F63" s="25" t="str">
        <x:v>Punto de interacción (mostrando un texto) que proporciona recursos al jugador y al MOG</x:v>
      </x:c>
      <x:c r="G63" s="25"/>
      <x:c r="H63" s="25" t="str">
        <x:v>Lista de Tokens - Meta EDU.xlsx</x:v>
      </x:c>
    </x:row>
    <x:row r="64" ht="28" customHeight="1">
      <x:c r="A64" s="25" t="str">
        <x:v>Hoja 1</x:v>
      </x:c>
      <x:c r="B64" s="25" t="n">
        <x:v>61</x:v>
      </x:c>
      <x:c r="C64" s="25" t="str">
        <x:v>Orbe Violeta (Bilboard) 1m</x:v>
      </x:c>
      <x:c r="D64" s="25" t="n">
        <x:v>2</x:v>
      </x:c>
      <x:c r="E64" s="25" t="str">
        <x:v>Si</x:v>
      </x:c>
      <x:c r="F64" s="25" t="str">
        <x:v>Punto de interacción (mostrando un texto) que proporciona recursos al jugador y al MOG</x:v>
      </x:c>
      <x:c r="G64" s="25"/>
      <x:c r="H64" s="25" t="str">
        <x:v>Lista de Tokens - Meta EDU.xlsx</x:v>
      </x:c>
    </x:row>
    <x:row r="65" ht="28" customHeight="1">
      <x:c r="A65" s="25" t="str">
        <x:v>Hoja 1</x:v>
      </x:c>
      <x:c r="B65" s="25" t="n">
        <x:v>62</x:v>
      </x:c>
      <x:c r="C65" s="25" t="str">
        <x:v>Orbe Naranja (Maps) 1h</x:v>
      </x:c>
      <x:c r="D65" s="25" t="n">
        <x:v>1</x:v>
      </x:c>
      <x:c r="E65" s="25" t="str">
        <x:v>Si</x:v>
      </x:c>
      <x:c r="F65" s="25" t="str">
        <x:v>Punto de interacción (mostrando un texto a la distancia) que proporciona recursos al jugador y al MOG</x:v>
      </x:c>
      <x:c r="G65" s="25"/>
      <x:c r="H65" s="25" t="str">
        <x:v>Lista de Tokens - Meta EDU.xlsx</x:v>
      </x:c>
    </x:row>
    <x:row r="66" ht="28" customHeight="1">
      <x:c r="A66" s="25" t="str">
        <x:v>Hoja 1</x:v>
      </x:c>
      <x:c r="B66" s="25" t="n">
        <x:v>63</x:v>
      </x:c>
      <x:c r="C66" s="25" t="str">
        <x:v>Orbe Naranja (Maps) 5m</x:v>
      </x:c>
      <x:c r="D66" s="25" t="n">
        <x:v>1.5</x:v>
      </x:c>
      <x:c r="E66" s="25" t="str">
        <x:v>Si</x:v>
      </x:c>
      <x:c r="F66" s="25" t="str">
        <x:v>Punto de interacción (mostrando un texto a la distancia) que proporciona recursos al jugador y al MOG</x:v>
      </x:c>
      <x:c r="G66" s="25"/>
      <x:c r="H66" s="25" t="str">
        <x:v>Lista de Tokens - Meta EDU.xlsx</x:v>
      </x:c>
    </x:row>
    <x:row r="67" ht="28" customHeight="1">
      <x:c r="A67" s="25" t="str">
        <x:v>Hoja 1</x:v>
      </x:c>
      <x:c r="B67" s="25" t="n">
        <x:v>64</x:v>
      </x:c>
      <x:c r="C67" s="25" t="str">
        <x:v>Bateria</x:v>
      </x:c>
      <x:c r="D67" s="25" t="n">
        <x:v>1</x:v>
      </x:c>
      <x:c r="E67" s="25" t="str">
        <x:v>Si</x:v>
      </x:c>
      <x:c r="F67" s="25" t="str">
        <x:v>Objeto que se utiliza para recargar orbes cuando estén a punto de agotarse</x:v>
      </x:c>
      <x:c r="G67" s="25"/>
      <x:c r="H67" s="25" t="str">
        <x:v>Lista de Tokens - Meta EDU.xlsx</x:v>
      </x:c>
    </x:row>
    <x:row r="68" ht="28" customHeight="1">
      <x:c r="A68" s="25" t="str">
        <x:v>MOG</x:v>
      </x:c>
      <x:c r="B68" s="25" t="n">
        <x:v>2</x:v>
      </x:c>
      <x:c r="C68" s="25" t="str">
        <x:v>Game GOS</x:v>
      </x:c>
      <x:c r="D68" s="25" t="n">
        <x:v>50</x:v>
      </x:c>
      <x:c r="E68" s="25" t="str">
        <x:v>No</x:v>
      </x:c>
      <x:c r="F68" s="25" t="str">
        <x:v>Token para crear Hexas, orbes y baterias</x:v>
      </x:c>
      <x:c r="G68" s="25"/>
      <x:c r="H68" s="25" t="str">
        <x:v>Lista de Tokens - Meta EDU.xlsx</x:v>
      </x:c>
    </x:row>
    <x:row r="69" ht="28" customHeight="1">
      <x:c r="A69" s="25" t="str">
        <x:v>MOG</x:v>
      </x:c>
      <x:c r="B69" s="25" t="n">
        <x:v>3</x:v>
      </x:c>
      <x:c r="C69" s="25" t="str">
        <x:v>HMAP</x:v>
      </x:c>
      <x:c r="D69" s="25" t="n">
        <x:v>50</x:v>
      </x:c>
      <x:c r="E69" s="25" t="str">
        <x:v>Si</x:v>
      </x:c>
      <x:c r="F69" s="25" t="str">
        <x:v>Token para realizar pagos internos de la plataforma Olympia</x:v>
      </x:c>
      <x:c r="G69" s="25"/>
      <x:c r="H69" s="25" t="str">
        <x:v>Lista de Tokens - Meta EDU.xlsx</x:v>
      </x:c>
    </x:row>
    <x:row r="70" ht="28" customHeight="1">
      <x:c r="A70" s="25" t="str">
        <x:v>MOG</x:v>
      </x:c>
      <x:c r="B70" s="25" t="n">
        <x:v>4</x:v>
      </x:c>
      <x:c r="C70" s="25" t="str">
        <x:v>Reex</x:v>
      </x:c>
      <x:c r="D70" s="25" t="n">
        <x:v>25</x:v>
      </x:c>
      <x:c r="E70" s="25" t="str">
        <x:v>Si</x:v>
      </x:c>
      <x:c r="F70" s="25" t="str">
        <x:v>Token de liquidez, necesario para realizar compras y pagos dentro de Olympia</x:v>
      </x:c>
      <x:c r="G70" s="25"/>
      <x:c r="H70" s="25" t="str">
        <x:v>Lista de Tokens - Meta EDU.xlsx</x:v>
      </x:c>
    </x:row>
    <x:row r="71" ht="28" customHeight="1">
      <x:c r="A71" s="25" t="str">
        <x:v>MOG</x:v>
      </x:c>
      <x:c r="B71" s="25" t="n">
        <x:v>5</x:v>
      </x:c>
      <x:c r="C71" s="25" t="str">
        <x:v>Hexa</x:v>
      </x:c>
      <x:c r="D71" s="25" t="n">
        <x:v>2.5</x:v>
      </x:c>
      <x:c r="E71" s="25" t="str">
        <x:v>Si</x:v>
      </x:c>
      <x:c r="F71" s="25" t="str">
        <x:v>Token destinado a la compra de parcelas del juego</x:v>
      </x:c>
      <x:c r="G71" s="25"/>
      <x:c r="H71" s="25" t="str">
        <x:v>Lista de Tokens - Meta EDU.xlsx</x:v>
      </x:c>
    </x:row>
    <x:row r="72" ht="28" customHeight="1">
      <x:c r="A72" s="25" t="str">
        <x:v>MOG</x:v>
      </x:c>
      <x:c r="B72" s="25" t="n">
        <x:v>6</x:v>
      </x:c>
      <x:c r="C72" s="25" t="str">
        <x:v>Dominion</x:v>
      </x:c>
      <x:c r="D72" s="25" t="n">
        <x:v>50</x:v>
      </x:c>
      <x:c r="E72" s="25" t="str">
        <x:v>Si</x:v>
      </x:c>
      <x:c r="F72" s="25" t="str">
        <x:v>Token para comprar suscripciones, booster y advisor dentro de Oficina MOG</x:v>
      </x:c>
      <x:c r="G72" s="25"/>
      <x:c r="H72" s="25" t="str">
        <x:v>Lista de Tokens - Meta EDU.xlsx</x:v>
      </x:c>
    </x:row>
    <x:row r="73" ht="28" customHeight="1">
      <x:c r="A73" s="25" t="str">
        <x:v>MOG</x:v>
      </x:c>
      <x:c r="B73" s="25" t="n">
        <x:v>7</x:v>
      </x:c>
      <x:c r="C73" s="25" t="str">
        <x:v>Hexatile</x:v>
      </x:c>
      <x:c r="D73" s="25" t="str">
        <x:v>2.75 hexas</x:v>
      </x:c>
      <x:c r="E73" s="25" t="str">
        <x:v>Si</x:v>
      </x:c>
      <x:c r="F73" s="25" t="str">
        <x:v>Token para representar una parcela de juego</x:v>
      </x:c>
      <x:c r="G73" s="25"/>
      <x:c r="H73" s="25" t="str">
        <x:v>Lista de Tokens - Meta EDU.xlsx</x:v>
      </x:c>
    </x:row>
    <x:row r="74" ht="28" customHeight="1">
      <x:c r="A74" s="25" t="str">
        <x:v>MOG</x:v>
      </x:c>
      <x:c r="B74" s="25" t="n">
        <x:v>8</x:v>
      </x:c>
      <x:c r="C74" s="25" t="str">
        <x:v>Orbe Azul</x:v>
      </x:c>
      <x:c r="D74" s="25" t="n">
        <x:v>0.25</x:v>
      </x:c>
      <x:c r="E74" s="25" t="str">
        <x:v>Si</x:v>
      </x:c>
      <x:c r="F74" s="25" t="str">
        <x:v>Punto de interacción standar que proporciona recursos al jugador y al MOG</x:v>
      </x:c>
      <x:c r="G74" s="25"/>
      <x:c r="H74" s="25" t="str">
        <x:v>Lista de Tokens - Meta EDU.xlsx</x:v>
      </x:c>
    </x:row>
    <x:row r="75" ht="28" customHeight="1">
      <x:c r="A75" s="25" t="str">
        <x:v>MOG</x:v>
      </x:c>
      <x:c r="B75" s="25" t="n">
        <x:v>9</x:v>
      </x:c>
      <x:c r="C75" s="25" t="str">
        <x:v>Orbe Verde</x:v>
      </x:c>
      <x:c r="D75" s="25" t="n">
        <x:v>0.5</x:v>
      </x:c>
      <x:c r="E75" s="25" t="str">
        <x:v>Si</x:v>
      </x:c>
      <x:c r="F75" s="25" t="str">
        <x:v>Punto de interacción standar que proporciona recursos al jugador y al MOG</x:v>
      </x:c>
      <x:c r="G75" s="25"/>
      <x:c r="H75" s="25" t="str">
        <x:v>Lista de Tokens - Meta EDU.xlsx</x:v>
      </x:c>
    </x:row>
    <x:row r="76" ht="28" customHeight="1">
      <x:c r="A76" s="25" t="str">
        <x:v>MOG</x:v>
      </x:c>
      <x:c r="B76" s="25" t="n">
        <x:v>10</x:v>
      </x:c>
      <x:c r="C76" s="25" t="str">
        <x:v>Orbe Rojo</x:v>
      </x:c>
      <x:c r="D76" s="25" t="n">
        <x:v>1.5</x:v>
      </x:c>
      <x:c r="E76" s="25" t="str">
        <x:v>Si</x:v>
      </x:c>
      <x:c r="F76" s="25" t="str">
        <x:v>Punto de interacción standar que proporciona recursos al jugador y al MOG</x:v>
      </x:c>
      <x:c r="G76" s="25"/>
      <x:c r="H76" s="25" t="str">
        <x:v>Lista de Tokens - Meta EDU.xlsx</x:v>
      </x:c>
    </x:row>
    <x:row r="77" ht="28" customHeight="1">
      <x:c r="A77" s="25" t="str">
        <x:v>MOG</x:v>
      </x:c>
      <x:c r="B77" s="25" t="n">
        <x:v>11</x:v>
      </x:c>
      <x:c r="C77" s="25" t="str">
        <x:v>Orbe Violeta (Bilboard) 1h</x:v>
      </x:c>
      <x:c r="D77" s="25" t="n">
        <x:v>1</x:v>
      </x:c>
      <x:c r="E77" s="25" t="str">
        <x:v>Si</x:v>
      </x:c>
      <x:c r="F77" s="25" t="str">
        <x:v>Punto de interacción (mostrando un texto) que proporciona recursos al jugador y al MOG</x:v>
      </x:c>
      <x:c r="G77" s="25"/>
      <x:c r="H77" s="25" t="str">
        <x:v>Lista de Tokens - Meta EDU.xlsx</x:v>
      </x:c>
    </x:row>
    <x:row r="78" ht="28" customHeight="1">
      <x:c r="A78" s="25" t="str">
        <x:v>MOG</x:v>
      </x:c>
      <x:c r="B78" s="25" t="n">
        <x:v>12</x:v>
      </x:c>
      <x:c r="C78" s="25" t="str">
        <x:v>Orbe Violeta (Bilboard) 5m</x:v>
      </x:c>
      <x:c r="D78" s="25" t="n">
        <x:v>1.5</x:v>
      </x:c>
      <x:c r="E78" s="25" t="str">
        <x:v>Si</x:v>
      </x:c>
      <x:c r="F78" s="25" t="str">
        <x:v>Punto de interacción (mostrando un texto) que proporciona recursos al jugador y al MOG</x:v>
      </x:c>
      <x:c r="G78" s="25"/>
      <x:c r="H78" s="25" t="str">
        <x:v>Lista de Tokens - Meta EDU.xlsx</x:v>
      </x:c>
    </x:row>
    <x:row r="79" ht="28" customHeight="1">
      <x:c r="A79" s="25" t="str">
        <x:v>MOG</x:v>
      </x:c>
      <x:c r="B79" s="25" t="n">
        <x:v>13</x:v>
      </x:c>
      <x:c r="C79" s="25" t="str">
        <x:v>Orbe Violeta (Bilboard) 1m</x:v>
      </x:c>
      <x:c r="D79" s="25" t="n">
        <x:v>2</x:v>
      </x:c>
      <x:c r="E79" s="25" t="str">
        <x:v>Si</x:v>
      </x:c>
      <x:c r="F79" s="25" t="str">
        <x:v>Punto de interacción (mostrando un texto) que proporciona recursos al jugador y al MOG</x:v>
      </x:c>
      <x:c r="G79" s="25"/>
      <x:c r="H79" s="25" t="str">
        <x:v>Lista de Tokens - Meta EDU.xlsx</x:v>
      </x:c>
    </x:row>
    <x:row r="80" ht="28" customHeight="1">
      <x:c r="A80" s="25" t="str">
        <x:v>MOG</x:v>
      </x:c>
      <x:c r="B80" s="25" t="n">
        <x:v>14</x:v>
      </x:c>
      <x:c r="C80" s="25" t="str">
        <x:v>Orbe Naranja (Maps) 1h</x:v>
      </x:c>
      <x:c r="D80" s="25" t="n">
        <x:v>1</x:v>
      </x:c>
      <x:c r="E80" s="25" t="str">
        <x:v>Si</x:v>
      </x:c>
      <x:c r="F80" s="25" t="str">
        <x:v>Punto de interacción (mostrando un texto a la distancia) que proporciona recursos al jugador y al MOG</x:v>
      </x:c>
      <x:c r="G80" s="25"/>
      <x:c r="H80" s="25" t="str">
        <x:v>Lista de Tokens - Meta EDU.xlsx</x:v>
      </x:c>
    </x:row>
    <x:row r="81" ht="28" customHeight="1">
      <x:c r="A81" s="25" t="str">
        <x:v>MOG</x:v>
      </x:c>
      <x:c r="B81" s="25" t="n">
        <x:v>15</x:v>
      </x:c>
      <x:c r="C81" s="25" t="str">
        <x:v>Orbe Naranja (Maps) 5m</x:v>
      </x:c>
      <x:c r="D81" s="25" t="n">
        <x:v>1.5</x:v>
      </x:c>
      <x:c r="E81" s="25" t="str">
        <x:v>Si</x:v>
      </x:c>
      <x:c r="F81" s="25" t="str">
        <x:v>Punto de interacción (mostrando un texto a la distancia) que proporciona recursos al jugador y al MOG</x:v>
      </x:c>
      <x:c r="G81" s="25"/>
      <x:c r="H81" s="25" t="str">
        <x:v>Lista de Tokens - Meta EDU.xlsx</x:v>
      </x:c>
    </x:row>
    <x:row r="82" ht="28" customHeight="1">
      <x:c r="A82" s="25" t="str">
        <x:v>MOG</x:v>
      </x:c>
      <x:c r="B82" s="25" t="n">
        <x:v>16</x:v>
      </x:c>
      <x:c r="C82" s="25" t="str">
        <x:v>Bateria</x:v>
      </x:c>
      <x:c r="D82" s="25" t="n">
        <x:v>1</x:v>
      </x:c>
      <x:c r="E82" s="25" t="str">
        <x:v>Si</x:v>
      </x:c>
      <x:c r="F82" s="25" t="str">
        <x:v>Objeto que se utiliza para recargar orbes cuando estén a punto de agotarse</x:v>
      </x:c>
      <x:c r="G82" s="25"/>
      <x:c r="H82" s="25" t="str">
        <x:v>Lista de Tokens - Meta EDU.xlsx</x:v>
      </x:c>
    </x:row>
    <x:row r="83" ht="28" customHeight="1">
      <x:c r="A83" s="25" t="str">
        <x:v>MOG</x:v>
      </x:c>
      <x:c r="B83" s="25" t="n">
        <x:v>17</x:v>
      </x:c>
      <x:c r="C83" s="25" t="str">
        <x:v>Loyalty</x:v>
      </x:c>
      <x:c r="D83" s="25" t="str">
        <x:v>Sin referencia</x:v>
      </x:c>
      <x:c r="E83" s="25" t="str">
        <x:v>No</x:v>
      </x:c>
      <x:c r="F83" s="25" t="str">
        <x:v>Token para alquilar hexatiles (parcelas)</x:v>
      </x:c>
      <x:c r="G83" s="25"/>
      <x:c r="H83" s="25" t="str">
        <x:v>Lista de Tokens - Meta EDU.xlsx</x:v>
      </x:c>
    </x:row>
    <x:row r="84" ht="28" customHeight="1">
      <x:c r="A84" s="25" t="str">
        <x:v>MOG</x:v>
      </x:c>
      <x:c r="B84" s="25" t="n">
        <x:v>18</x:v>
      </x:c>
      <x:c r="C84" s="25" t="str">
        <x:v>Hepta</x:v>
      </x:c>
      <x:c r="D84" s="25" t="str">
        <x:v>Sin referencia</x:v>
      </x:c>
      <x:c r="E84" s="25" t="str">
        <x:v>No</x:v>
      </x:c>
      <x:c r="F84" s="25" t="str">
        <x:v>Token que funcionará para comprar articulos y recursos basicos del juego</x:v>
      </x:c>
      <x:c r="G84" s="25"/>
      <x:c r="H84" s="25" t="str">
        <x:v>Lista de Tokens - Meta EDU.xlsx</x:v>
      </x:c>
    </x:row>
    <x:row r="85" ht="28" customHeight="1">
      <x:c r="A85" s="25" t="str">
        <x:v>MOG</x:v>
      </x:c>
      <x:c r="B85" s="25" t="n">
        <x:v>19</x:v>
      </x:c>
      <x:c r="C85" s="25" t="str">
        <x:v>Octa</x:v>
      </x:c>
      <x:c r="D85" s="25" t="str">
        <x:v>Sin referencia</x:v>
      </x:c>
      <x:c r="E85" s="25" t="str">
        <x:v>No</x:v>
      </x:c>
      <x:c r="F85" s="25" t="str">
        <x:v>Token premium para adquirir los objetos mas caros y exclusivos</x:v>
      </x:c>
      <x:c r="G85" s="25"/>
      <x:c r="H85" s="25" t="str">
        <x:v>Lista de Tokens - Meta EDU.xlsx</x:v>
      </x:c>
    </x:row>
    <x:row r="86" ht="28" customHeight="1">
      <x:c r="A86" s="25" t="str">
        <x:v>MOG</x:v>
      </x:c>
      <x:c r="B86" s="25" t="n">
        <x:v>20</x:v>
      </x:c>
      <x:c r="C86" s="25" t="str">
        <x:v>1 GM</x:v>
      </x:c>
      <x:c r="D86" s="25" t="str">
        <x:v>?</x:v>
      </x:c>
      <x:c r="E86" s="25" t="str">
        <x:v>?</x:v>
      </x:c>
      <x:c r="F86" s="25" t="str">
        <x:v>Tokens que da derecho de tener un nuevo MOG proveniente de campaña publicitaria</x:v>
      </x:c>
      <x:c r="G86" s="25" t="str">
        <x:v>Corroborar si se puede transferir. €25? 1 Reex en el TAC equivale a 1 GM</x:v>
      </x:c>
      <x:c r="H86" s="25" t="str">
        <x:v>Lista de Tokens - Meta EDU.xlsx</x:v>
      </x:c>
    </x:row>
    <x:row r="87" ht="28" customHeight="1">
      <x:c r="A87" s="25" t="str">
        <x:v>MOG</x:v>
      </x:c>
      <x:c r="B87" s="25" t="n">
        <x:v>21</x:v>
      </x:c>
      <x:c r="C87" s="25" t="str">
        <x:v>Reex Miner</x:v>
      </x:c>
      <x:c r="D87" s="25" t="str">
        <x:v>?</x:v>
      </x:c>
      <x:c r="E87" s="25" t="str">
        <x:v>Si</x:v>
      </x:c>
      <x:c r="F87" s="25" t="str">
        <x:v>Token para minar REEX dentro de las parcelas del juego</x:v>
      </x:c>
      <x:c r="G87" s="25" t="str">
        <x:v>se activa con 1 gico para ser transferible e utilizable pero genera hasta 3 reex asi que su valor de venta tienen que ser por debajo de 3 reex</x:v>
      </x:c>
      <x:c r="H87" s="25" t="str">
        <x:v>Lista de Tokens - Meta EDU.xlsx</x:v>
      </x:c>
    </x:row>
    <x:row r="88" ht="28" customHeight="1">
      <x:c r="A88" s="25" t="str">
        <x:v>MOG</x:v>
      </x:c>
      <x:c r="B88" s="25" t="n">
        <x:v>23</x:v>
      </x:c>
      <x:c r="C88" s="25" t="str">
        <x:v>Advisor</x:v>
      </x:c>
      <x:c r="D88" s="25" t="n">
        <x:v>5</x:v>
      </x:c>
      <x:c r="E88" s="25" t="str">
        <x:v>No</x:v>
      </x:c>
      <x:c r="F88" s="25" t="str">
        <x:v>Asistente que administra las hexatiles (parcelas) del juego</x:v>
      </x:c>
      <x:c r="G88" s="25"/>
      <x:c r="H88" s="25" t="str">
        <x:v>Lista de Tokens - Meta EDU.xlsx</x:v>
      </x:c>
    </x:row>
    <x:row r="89" ht="28" customHeight="1">
      <x:c r="A89" s="25" t="str">
        <x:v>MOG</x:v>
      </x:c>
      <x:c r="B89" s="25" t="n">
        <x:v>24</x:v>
      </x:c>
      <x:c r="C89" s="25" t="str">
        <x:v>Control hexatile 3x</x:v>
      </x:c>
      <x:c r="D89" s="25" t="str">
        <x:v>0.2 Dominion</x:v>
      </x:c>
      <x:c r="E89" s="25" t="str">
        <x:v>No</x:v>
      </x:c>
      <x:c r="F89" s="25" t="str">
        <x:v>Booste que aumenta la cantidades de parcelas dentro del asesor a 381 terrenos</x:v>
      </x:c>
      <x:c r="G89" s="25"/>
      <x:c r="H89" s="25" t="str">
        <x:v>Lista de Tokens - Meta EDU.xlsx</x:v>
      </x:c>
    </x:row>
    <x:row r="90" ht="28" customHeight="1">
      <x:c r="A90" s="25" t="str">
        <x:v>MOG</x:v>
      </x:c>
      <x:c r="B90" s="25" t="n">
        <x:v>25</x:v>
      </x:c>
      <x:c r="C90" s="25" t="str">
        <x:v>Control hexatile 9x</x:v>
      </x:c>
      <x:c r="D90" s="25" t="str">
        <x:v>0.5 Dominion</x:v>
      </x:c>
      <x:c r="E90" s="25" t="str">
        <x:v>No</x:v>
      </x:c>
      <x:c r="F90" s="25" t="str">
        <x:v>Booster que aumenta la cantidades de parcelas dentro del asesor a 1143 terrenos</x:v>
      </x:c>
      <x:c r="G90" s="25"/>
      <x:c r="H90" s="25" t="str">
        <x:v>Lista de Tokens - Meta EDU.xlsx</x:v>
      </x:c>
    </x:row>
    <x:row r="91" ht="28" customHeight="1">
      <x:c r="A91" s="25" t="str">
        <x:v>MOG</x:v>
      </x:c>
      <x:c r="B91" s="25" t="n">
        <x:v>26</x:v>
      </x:c>
      <x:c r="C91" s="25" t="str">
        <x:v>Control hexatile 27x</x:v>
      </x:c>
      <x:c r="D91" s="25" t="str">
        <x:v>1 Dominion</x:v>
      </x:c>
      <x:c r="E91" s="25" t="str">
        <x:v>No</x:v>
      </x:c>
      <x:c r="F91" s="25" t="str">
        <x:v>Booster que aumenta la cantidades de parcelas dentro del asesor a 3429 terrenos</x:v>
      </x:c>
      <x:c r="G91" s="25"/>
      <x:c r="H91" s="25" t="str">
        <x:v>Lista de Tokens - Meta EDU.xlsx</x:v>
      </x:c>
    </x:row>
    <x:row r="92" ht="28" customHeight="1">
      <x:c r="A92" s="25" t="str">
        <x:v>MOG</x:v>
      </x:c>
      <x:c r="B92" s="25" t="n">
        <x:v>27</x:v>
      </x:c>
      <x:c r="C92" s="25" t="str">
        <x:v>Extra Orb</x:v>
      </x:c>
      <x:c r="D92" s="25" t="str">
        <x:v>1 Dominion</x:v>
      </x:c>
      <x:c r="E92" s="25" t="str">
        <x:v>No</x:v>
      </x:c>
      <x:c r="F92" s="25" t="str">
        <x:v>Booster que permite colocar 1 orbe demas en la parcela</x:v>
      </x:c>
      <x:c r="G92" s="25"/>
      <x:c r="H92" s="25" t="str">
        <x:v>Lista de Tokens - Meta EDU.xlsx</x:v>
      </x:c>
    </x:row>
    <x:row r="93" ht="28" customHeight="1">
      <x:c r="A93" s="25" t="str">
        <x:v>MOG</x:v>
      </x:c>
      <x:c r="B93" s="25" t="n">
        <x:v>28</x:v>
      </x:c>
      <x:c r="C93" s="25" t="str">
        <x:v>Connect plus 90D</x:v>
      </x:c>
      <x:c r="D93" s="25" t="str">
        <x:v>1 Dominion</x:v>
      </x:c>
      <x:c r="E93" s="25" t="str">
        <x:v>No</x:v>
      </x:c>
      <x:c r="F93" s="25" t="str">
        <x:v>Booster que permite comunicarse con los jugadorespo 90 dias</x:v>
      </x:c>
      <x:c r="G93" s="25"/>
      <x:c r="H93" s="25" t="str">
        <x:v>Lista de Tokens - Meta EDU.xlsx</x:v>
      </x:c>
    </x:row>
    <x:row r="94" ht="28" customHeight="1">
      <x:c r="A94" s="25" t="str">
        <x:v>MOG</x:v>
      </x:c>
      <x:c r="B94" s="25" t="n">
        <x:v>29</x:v>
      </x:c>
      <x:c r="C94" s="25" t="str">
        <x:v>Connect plus 1Y</x:v>
      </x:c>
      <x:c r="D94" s="25" t="str">
        <x:v>2 Dominion</x:v>
      </x:c>
      <x:c r="E94" s="25" t="str">
        <x:v>No</x:v>
      </x:c>
      <x:c r="F94" s="25" t="str">
        <x:v>Booster que permite comunicarse con los jugadores por 1 año</x:v>
      </x:c>
      <x:c r="G94" s="25"/>
      <x:c r="H94" s="25" t="str">
        <x:v>Lista de Tokens - Meta EDU.xlsx</x:v>
      </x:c>
    </x:row>
    <x:row r="95" ht="28" customHeight="1">
      <x:c r="A95" s="25" t="str">
        <x:v>MOG</x:v>
      </x:c>
      <x:c r="B95" s="25" t="n">
        <x:v>30</x:v>
      </x:c>
      <x:c r="C95" s="25" t="str">
        <x:v>Shard Setter 30D</x:v>
      </x:c>
      <x:c r="D95" s="25" t="str">
        <x:v>1 Dominion</x:v>
      </x:c>
      <x:c r="E95" s="25" t="str">
        <x:v>No</x:v>
      </x:c>
      <x:c r="F95" s="25" t="str">
        <x:v>Booster para colocar elementos especiales (shard) para atraer jugadores por 30 días</x:v>
      </x:c>
      <x:c r="G95" s="25"/>
      <x:c r="H95" s="25" t="str">
        <x:v>Lista de Tokens - Meta EDU.xlsx</x:v>
      </x:c>
    </x:row>
    <x:row r="96" ht="28" customHeight="1">
      <x:c r="A96" s="25" t="str">
        <x:v>MOG</x:v>
      </x:c>
      <x:c r="B96" s="25" t="n">
        <x:v>31</x:v>
      </x:c>
      <x:c r="C96" s="25" t="str">
        <x:v>Shard Setter 90D</x:v>
      </x:c>
      <x:c r="D96" s="25" t="str">
        <x:v>3 Dominion</x:v>
      </x:c>
      <x:c r="E96" s="25" t="str">
        <x:v>No</x:v>
      </x:c>
      <x:c r="F96" s="25" t="str">
        <x:v>Booster para colocar elementos especiales (shard) para atraer jugadores por 90 días</x:v>
      </x:c>
      <x:c r="G96" s="25"/>
      <x:c r="H96" s="25" t="str">
        <x:v>Lista de Tokens - Meta EDU.xlsx</x:v>
      </x:c>
    </x:row>
    <x:row r="97" ht="28" customHeight="1">
      <x:c r="A97" s="25" t="str">
        <x:v>MOG</x:v>
      </x:c>
      <x:c r="B97" s="25" t="n">
        <x:v>32</x:v>
      </x:c>
      <x:c r="C97" s="25" t="str">
        <x:v>BaitMaster</x:v>
      </x:c>
      <x:c r="D97" s="25" t="str">
        <x:v>1 Dominion</x:v>
      </x:c>
      <x:c r="E97" s="25" t="str">
        <x:v>No</x:v>
      </x:c>
      <x:c r="F97" s="25" t="str">
        <x:v>Booster para colocar objetos de interes para los jugadores </x:v>
      </x:c>
      <x:c r="G97" s="25"/>
      <x:c r="H97" s="25" t="str">
        <x:v>Lista de Tokens - Meta EDU.xlsx</x:v>
      </x:c>
    </x:row>
    <x:row r="98" ht="28" customHeight="1">
      <x:c r="A98" s="25" t="str">
        <x:v>MOG</x:v>
      </x:c>
      <x:c r="B98" s="25" t="n">
        <x:v>33</x:v>
      </x:c>
      <x:c r="C98" s="25" t="str">
        <x:v>BaitMaster Pro</x:v>
      </x:c>
      <x:c r="D98" s="25" t="str">
        <x:v>2 Dominion</x:v>
      </x:c>
      <x:c r="E98" s="25" t="str">
        <x:v>No</x:v>
      </x:c>
      <x:c r="F98" s="25" t="str">
        <x:v>Booster para colocar objetos de interes para los jugadores </x:v>
      </x:c>
      <x:c r="G98" s="25"/>
      <x:c r="H98" s="25" t="str">
        <x:v>Lista de Tokens - Meta EDU.xlsx</x:v>
      </x:c>
    </x:row>
    <x:row r="99" ht="28" customHeight="1">
      <x:c r="A99" s="25" t="str">
        <x:v>MOG</x:v>
      </x:c>
      <x:c r="B99" s="25" t="n">
        <x:v>34</x:v>
      </x:c>
      <x:c r="C99" s="25" t="str">
        <x:v>Orb Commander</x:v>
      </x:c>
      <x:c r="D99" s="25" t="str">
        <x:v>1 Dominion</x:v>
      </x:c>
      <x:c r="E99" s="25" t="str">
        <x:v>No</x:v>
      </x:c>
      <x:c r="F99" s="25" t="str">
        <x:v>Booster que ayuda a colocar orbes de manera automatica </x:v>
      </x:c>
      <x:c r="G99" s="25"/>
      <x:c r="H99" s="25" t="str">
        <x:v>Lista de Tokens - Meta EDU.xlsx</x:v>
      </x:c>
    </x:row>
    <x:row r="100" ht="28" customHeight="1">
      <x:c r="A100" s="25" t="str">
        <x:v>MOG</x:v>
      </x:c>
      <x:c r="B100" s="25" t="n">
        <x:v>35</x:v>
      </x:c>
      <x:c r="C100" s="25" t="str">
        <x:v>Orb Auto-Setter</x:v>
      </x:c>
      <x:c r="D100" s="25" t="str">
        <x:v>1 Dominion</x:v>
      </x:c>
      <x:c r="E100" s="25" t="str">
        <x:v>No</x:v>
      </x:c>
      <x:c r="F100" s="25" t="str">
        <x:v>Booster que colocar orbes sin la orden del MOG</x:v>
      </x:c>
      <x:c r="G100" s="25"/>
      <x:c r="H100" s="25" t="str">
        <x:v>Lista de Tokens - Meta EDU.xlsx</x:v>
      </x:c>
    </x:row>
    <x:row r="101" ht="28" customHeight="1">
      <x:c r="A101" s="25" t="str">
        <x:v>MOG</x:v>
      </x:c>
      <x:c r="B101" s="25" t="n">
        <x:v>36</x:v>
      </x:c>
      <x:c r="C101" s="25" t="str">
        <x:v>Orb Master</x:v>
      </x:c>
      <x:c r="D101" s="25" t="str">
        <x:v>1 Dominion</x:v>
      </x:c>
      <x:c r="E101" s="25" t="str">
        <x:v>No</x:v>
      </x:c>
      <x:c r="F101" s="25" t="str">
        <x:v>Booster que ayuda a colocar orbes standar de diferentes colores de manera automatica </x:v>
      </x:c>
      <x:c r="G101" s="25"/>
      <x:c r="H101" s="25" t="str">
        <x:v>Lista de Tokens - Meta EDU.xlsx</x:v>
      </x:c>
    </x:row>
    <x:row r="102" ht="28" customHeight="1">
      <x:c r="A102" s="25" t="str">
        <x:v>MOG</x:v>
      </x:c>
      <x:c r="B102" s="25" t="n">
        <x:v>37</x:v>
      </x:c>
      <x:c r="C102" s="25" t="str">
        <x:v>Magic Line</x:v>
      </x:c>
      <x:c r="D102" s="25" t="str">
        <x:v>2 Dominion</x:v>
      </x:c>
      <x:c r="E102" s="25" t="str">
        <x:v>No</x:v>
      </x:c>
      <x:c r="F102" s="25" t="str">
        <x:v>Booster que coloca orbes trazando un recorrido para el jugador</x:v>
      </x:c>
      <x:c r="G102" s="25"/>
      <x:c r="H102" s="25" t="str">
        <x:v>Lista de Tokens - Meta EDU.xlsx</x:v>
      </x:c>
    </x:row>
    <x:row r="103" ht="28" customHeight="1">
      <x:c r="A103" s="25" t="str">
        <x:v>MOG</x:v>
      </x:c>
      <x:c r="B103" s="25" t="n">
        <x:v>38</x:v>
      </x:c>
      <x:c r="C103" s="25" t="str">
        <x:v>Smart Balancer</x:v>
      </x:c>
      <x:c r="D103" s="25" t="str">
        <x:v>1 Dominion</x:v>
      </x:c>
      <x:c r="E103" s="25" t="str">
        <x:v>No</x:v>
      </x:c>
      <x:c r="F103" s="25" t="str">
        <x:v>Booster que distribuye de forma uniforme  los recursos en los terrenos</x:v>
      </x:c>
      <x:c r="G103" s="25"/>
      <x:c r="H103" s="25" t="str">
        <x:v>Lista de Tokens - Meta EDU.xlsx</x:v>
      </x:c>
    </x:row>
    <x:row r="104" ht="28" customHeight="1">
      <x:c r="A104" s="25" t="str">
        <x:v>MOG</x:v>
      </x:c>
      <x:c r="B104" s="25" t="n">
        <x:v>39</x:v>
      </x:c>
      <x:c r="C104" s="25" t="str">
        <x:v>Researcher 30D</x:v>
      </x:c>
      <x:c r="D104" s="25" t="str">
        <x:v>1 Dominion</x:v>
      </x:c>
      <x:c r="E104" s="25" t="str">
        <x:v>No</x:v>
      </x:c>
      <x:c r="F104" s="25" t="str">
        <x:v>Booster que da seguimiento por 30 dias a los recursos dentro de sus parcelas</x:v>
      </x:c>
      <x:c r="G104" s="25"/>
      <x:c r="H104" s="25" t="str">
        <x:v>Lista de Tokens - Meta EDU.xlsx</x:v>
      </x:c>
    </x:row>
    <x:row r="105" ht="28" customHeight="1">
      <x:c r="A105" s="25" t="str">
        <x:v>MOG</x:v>
      </x:c>
      <x:c r="B105" s="25" t="n">
        <x:v>40</x:v>
      </x:c>
      <x:c r="C105" s="25" t="str">
        <x:v>Researcher 90D</x:v>
      </x:c>
      <x:c r="D105" s="25" t="str">
        <x:v>2 Dominion</x:v>
      </x:c>
      <x:c r="E105" s="25" t="str">
        <x:v>No</x:v>
      </x:c>
      <x:c r="F105" s="25" t="str">
        <x:v>Booster que da seguimiento por 90 dias a los recursos dentro de sus parcelas</x:v>
      </x:c>
      <x:c r="G105" s="25"/>
      <x:c r="H105" s="25" t="str">
        <x:v>Lista de Tokens - Meta EDU.xlsx</x:v>
      </x:c>
    </x:row>
    <x:row r="106" ht="28" customHeight="1">
      <x:c r="A106" s="25" t="str">
        <x:v>MOG</x:v>
      </x:c>
      <x:c r="B106" s="25" t="n">
        <x:v>41</x:v>
      </x:c>
      <x:c r="C106" s="25" t="str">
        <x:v>Re-charger</x:v>
      </x:c>
      <x:c r="D106" s="25" t="str">
        <x:v>1 Dominion</x:v>
      </x:c>
      <x:c r="E106" s="25" t="str">
        <x:v>No</x:v>
      </x:c>
      <x:c r="F106" s="25" t="str">
        <x:v>Booster que recarga el limite de interacción de los orbes Bilboard y Maps</x:v>
      </x:c>
      <x:c r="G106" s="25"/>
      <x:c r="H106" s="25" t="str">
        <x:v>Lista de Tokens - Meta EDU.xlsx</x:v>
      </x:c>
    </x:row>
    <x:row r="107" ht="28" customHeight="1">
      <x:c r="A107" s="25" t="str">
        <x:v>MOG</x:v>
      </x:c>
      <x:c r="B107" s="25" t="n">
        <x:v>42</x:v>
      </x:c>
      <x:c r="C107" s="25" t="str">
        <x:v>Re-charger Config</x:v>
      </x:c>
      <x:c r="D107" s="25" t="str">
        <x:v>1 Dominion</x:v>
      </x:c>
      <x:c r="E107" s="25" t="str">
        <x:v>No</x:v>
      </x:c>
      <x:c r="F107" s="25" t="str">
        <x:v>Booster configurable para elegir que orbe recargar o no recargar de los Bilboard y Maps</x:v>
      </x:c>
      <x:c r="G107" s="25"/>
      <x:c r="H107" s="25" t="str">
        <x:v>Lista de Tokens - Meta EDU.xlsx</x:v>
      </x:c>
    </x:row>
    <x:row r="108" ht="28" customHeight="1">
      <x:c r="A108" s="25" t="str">
        <x:v>MOG</x:v>
      </x:c>
      <x:c r="B108" s="25" t="n">
        <x:v>43</x:v>
      </x:c>
      <x:c r="C108" s="25" t="str">
        <x:v>Land Seller</x:v>
      </x:c>
      <x:c r="D108" s="25" t="str">
        <x:v>1 Dominion</x:v>
      </x:c>
      <x:c r="E108" s="25" t="str">
        <x:v>No</x:v>
      </x:c>
      <x:c r="F108" s="25" t="str">
        <x:v>Booster para poner a la venta todos los terrenos dentro del advisor </x:v>
      </x:c>
      <x:c r="G108" s="25"/>
      <x:c r="H108" s="25" t="str">
        <x:v>Lista de Tokens - Meta EDU.xlsx</x:v>
      </x:c>
    </x:row>
    <x:row r="109" ht="28" customHeight="1">
      <x:c r="A109" s="25" t="str">
        <x:v>MOG</x:v>
      </x:c>
      <x:c r="B109" s="25" t="n">
        <x:v>44</x:v>
      </x:c>
      <x:c r="C109" s="25" t="str">
        <x:v>Land Bider</x:v>
      </x:c>
      <x:c r="D109" s="25" t="str">
        <x:v>1 Dominion</x:v>
      </x:c>
      <x:c r="E109" s="25" t="str">
        <x:v>No</x:v>
      </x:c>
      <x:c r="F109" s="25" t="str">
        <x:v>Booster para realizar una oferta para comprar varios terrenos a otro MOG</x:v>
      </x:c>
      <x:c r="G109" s="25"/>
      <x:c r="H109" s="25" t="str">
        <x:v>Lista de Tokens - Meta EDU.xlsx</x:v>
      </x:c>
    </x:row>
    <x:row r="110" ht="28" customHeight="1">
      <x:c r="A110" s="26" t="str">
        <x:v>MOG</x:v>
      </x:c>
      <x:c r="B110" s="26" t="n">
        <x:v>45</x:v>
      </x:c>
      <x:c r="C110" s="26" t="str">
        <x:v>Land Buyer</x:v>
      </x:c>
      <x:c r="D110" s="26" t="str">
        <x:v>1 Dominion</x:v>
      </x:c>
      <x:c r="E110" s="26" t="str">
        <x:v>No</x:v>
      </x:c>
      <x:c r="F110" s="26" t="str">
        <x:v>Booster para comprar terrenos de forma automatica a otros MOG</x:v>
      </x:c>
      <x:c r="G110" s="26"/>
      <x:c r="H110" s="26" t="str">
        <x:v>Lista de Tokens - Meta EDU.xlsx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6fac9f163214280"/>
  </x:tableParts>
</x:worksheet>
</file>